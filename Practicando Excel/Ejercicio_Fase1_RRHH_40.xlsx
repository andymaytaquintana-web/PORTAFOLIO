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040" firstSheet="1" activeTab="2"/>
  </bookViews>
  <sheets>
    <sheet name="Tabla_dinamica_sueldos_promedio" sheetId="6" r:id="rId1"/>
    <sheet name="Datos_RRHH" sheetId="1" r:id="rId2"/>
    <sheet name="Instrucciones" sheetId="2" r:id="rId3"/>
  </sheets>
  <calcPr calcId="162913"/>
  <pivotCaches>
    <pivotCache cacheId="4" r:id="rId4"/>
  </pivotCaches>
</workbook>
</file>

<file path=xl/calcChain.xml><?xml version="1.0" encoding="utf-8"?>
<calcChain xmlns="http://schemas.openxmlformats.org/spreadsheetml/2006/main">
  <c r="J3" i="1" l="1"/>
  <c r="F2" i="1" s="1"/>
  <c r="E42" i="1"/>
  <c r="F39" i="1" l="1"/>
  <c r="F35" i="1"/>
  <c r="F31" i="1"/>
  <c r="F27" i="1"/>
  <c r="F23" i="1"/>
  <c r="F19" i="1"/>
  <c r="F15" i="1"/>
  <c r="F11" i="1"/>
  <c r="F7" i="1"/>
  <c r="F3" i="1"/>
  <c r="F41" i="1"/>
  <c r="F37" i="1"/>
  <c r="F33" i="1"/>
  <c r="F29" i="1"/>
  <c r="F25" i="1"/>
  <c r="F21" i="1"/>
  <c r="F17" i="1"/>
  <c r="F13" i="1"/>
  <c r="F9" i="1"/>
  <c r="F5" i="1"/>
  <c r="F40" i="1"/>
  <c r="F36" i="1"/>
  <c r="F32" i="1"/>
  <c r="F28" i="1"/>
  <c r="F24" i="1"/>
  <c r="F20" i="1"/>
  <c r="F16" i="1"/>
  <c r="F12" i="1"/>
  <c r="F8" i="1"/>
  <c r="F4" i="1"/>
  <c r="F38" i="1"/>
  <c r="F34" i="1"/>
  <c r="F30" i="1"/>
  <c r="F26" i="1"/>
  <c r="F22" i="1"/>
  <c r="F18" i="1"/>
  <c r="F14" i="1"/>
  <c r="F10" i="1"/>
  <c r="F6" i="1"/>
</calcChain>
</file>

<file path=xl/sharedStrings.xml><?xml version="1.0" encoding="utf-8"?>
<sst xmlns="http://schemas.openxmlformats.org/spreadsheetml/2006/main" count="113" uniqueCount="73">
  <si>
    <t>ID</t>
  </si>
  <si>
    <t>Nombre</t>
  </si>
  <si>
    <t>Área</t>
  </si>
  <si>
    <t>Fecha de Ingreso</t>
  </si>
  <si>
    <t>Sueldo (S/)</t>
  </si>
  <si>
    <t>Paola Fernandez</t>
  </si>
  <si>
    <t>Logistica</t>
  </si>
  <si>
    <t>Pedro Solis</t>
  </si>
  <si>
    <t>Sistemas</t>
  </si>
  <si>
    <t>Cinthia Cordova</t>
  </si>
  <si>
    <t>Comercial</t>
  </si>
  <si>
    <t>Alonso Castro</t>
  </si>
  <si>
    <t>Camila Guzman</t>
  </si>
  <si>
    <t>Renzo Castro</t>
  </si>
  <si>
    <t>Milagros Solis</t>
  </si>
  <si>
    <t>Jose Nunez</t>
  </si>
  <si>
    <t>Marketing</t>
  </si>
  <si>
    <t>Gabriela Morales</t>
  </si>
  <si>
    <t>Esteban Aguilar</t>
  </si>
  <si>
    <t>Brenda Nunez</t>
  </si>
  <si>
    <t>Victor Castro</t>
  </si>
  <si>
    <t>Milagros Quispe</t>
  </si>
  <si>
    <t>Finanzas</t>
  </si>
  <si>
    <t>Alonso Salazar</t>
  </si>
  <si>
    <t>Andrea Vega</t>
  </si>
  <si>
    <t>Alberto Rivera</t>
  </si>
  <si>
    <t>Daniela Vega</t>
  </si>
  <si>
    <t>Fernando Rivera</t>
  </si>
  <si>
    <t>Fiorella Flores</t>
  </si>
  <si>
    <t>Jorge Rojas</t>
  </si>
  <si>
    <t>Lucia Aguilar</t>
  </si>
  <si>
    <t>Renzo Salazar</t>
  </si>
  <si>
    <t>Gabriela Quispe</t>
  </si>
  <si>
    <t>Carlos Paredes</t>
  </si>
  <si>
    <t>Andrea Nunez</t>
  </si>
  <si>
    <t>Gonzalo Chavez</t>
  </si>
  <si>
    <t>Ximena Chavez</t>
  </si>
  <si>
    <t>Jose Vega</t>
  </si>
  <si>
    <t>Camila Aguilar</t>
  </si>
  <si>
    <t>Operaciones</t>
  </si>
  <si>
    <t>Diego Quispe</t>
  </si>
  <si>
    <t>Natalia Morales</t>
  </si>
  <si>
    <t>Esteban Herrera</t>
  </si>
  <si>
    <t>Brenda Mendoza</t>
  </si>
  <si>
    <t>Pedro Ramirez</t>
  </si>
  <si>
    <t>Valeria Ramirez</t>
  </si>
  <si>
    <t>Andres Herrera</t>
  </si>
  <si>
    <t>Cinthia Guzman</t>
  </si>
  <si>
    <t>Manuel Rojas</t>
  </si>
  <si>
    <t>Elena Vega</t>
  </si>
  <si>
    <t>Jorge Solis</t>
  </si>
  <si>
    <t>Ejercicio Fase 1 (Extendido) - Fundamentos para Data (RRHH)</t>
  </si>
  <si>
    <t>Contexto: RRHH te envio la planilla completa (40 empleados) para calcular antiguedad y el sueldo total de nomina.</t>
  </si>
  <si>
    <t>Tipos de suciedad presentes en 'Sueldo (S/)' (identifica cada caso antes de corregir):</t>
  </si>
  <si>
    <t xml:space="preserve">  a) Espacio como separador de miles, ej: '12 500' -&gt; esto NO es un numero para Excel, es texto con un espacio en medio.</t>
  </si>
  <si>
    <t xml:space="preserve">  b) Espacio al inicio o al final del numero, ej: ' 2600' o '2200 '.</t>
  </si>
  <si>
    <t xml:space="preserve">  c) Prefijo de moneda como texto, ej: 'S/ 5000'.</t>
  </si>
  <si>
    <t xml:space="preserve">  d) Numeros ya limpios (reales), para que compares el 'antes y despues'.</t>
  </si>
  <si>
    <t>Tareas:</t>
  </si>
  <si>
    <t>1. Ctrl+T sobre el rango -&gt; nombra la tabla 'tblEmpleados40'.</t>
  </si>
  <si>
    <t>2. Antes de corregir nada, selecciona la columna Sueldo y mira la barra de estado (abajo a la derecha). Si la 'Suma' no coincide con sumar manualmente los 40 sueldos, confirmas que hay texto mezclado.</t>
  </si>
  <si>
    <t>3. Corrige cada tipo de suciedad. Sugerencia de formulas (en una columna auxiliar 'Sueldo_limpio'):</t>
  </si>
  <si>
    <t xml:space="preserve">   =VALOR(ESPACIOS(SUSTITUIR(SUSTITUIR([@[Sueldo (S/)]];"S/";"");" ";"")))</t>
  </si>
  <si>
    <t xml:space="preserve">   (SUSTITUIR quita el texto 'S/', y luego quita los espacios; VALOR lo convierte a numero real)</t>
  </si>
  <si>
    <t xml:space="preserve">   Ojo: revisa que esta formula no rompa los sueldos que ya eran numero real (VALOR sobre un numero tambien funciona).</t>
  </si>
  <si>
    <t>4. Repite el proceso de 'Texto en columnas' para la columna Fecha de Ingreso y crea la columna 'Antiguedad (años)'.</t>
  </si>
  <si>
    <t>5. Verifica: con Alt+= al final de la columna Sueldo_limpio, la suma debe reflejar los 40 registros reales, no 0 ni un numero menor al esperado.</t>
  </si>
  <si>
    <t>Reto extra: usa una Tabla Dinamica simple (aunque la veremos a fondo en Fase 4) para sacar el sueldo promedio por Area, y comprueba que el resultado cambia antes/despues de limpiar los datos.</t>
  </si>
  <si>
    <t>Antigüedad (años)</t>
  </si>
  <si>
    <t>FECHA ACTUAL:</t>
  </si>
  <si>
    <t>Total general</t>
  </si>
  <si>
    <t>Etiquetas de fila</t>
  </si>
  <si>
    <t>Promedio de Sueldo (S/)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</si>
</sst>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14" fontId="0" fillId="0" borderId="0" xfId="0" applyNumberFormat="1"/>
    <xf numFmtId="172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2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482188</xdr:colOff>
      <xdr:row>6</xdr:row>
      <xdr:rowOff>123825</xdr:rowOff>
    </xdr:from>
    <xdr:to>
      <xdr:col>16</xdr:col>
      <xdr:colOff>370509</xdr:colOff>
      <xdr:row>24</xdr:row>
      <xdr:rowOff>75530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888" y="1266825"/>
          <a:ext cx="4869896" cy="33807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8.917911226854" createdVersion="6" refreshedVersion="6" minRefreshableVersion="3" recordCount="40">
  <cacheSource type="worksheet">
    <worksheetSource name="tblEmpleados"/>
  </cacheSource>
  <cacheFields count="6">
    <cacheField name="ID" numFmtId="0">
      <sharedItems containsSemiMixedTypes="0" containsString="0" containsNumber="1" containsInteger="1" minValue="1" maxValue="40"/>
    </cacheField>
    <cacheField name="Nombre" numFmtId="0">
      <sharedItems/>
    </cacheField>
    <cacheField name="Área" numFmtId="0">
      <sharedItems count="6">
        <s v="Logistica"/>
        <s v="Sistemas"/>
        <s v="Comercial"/>
        <s v="Marketing"/>
        <s v="Finanzas"/>
        <s v="Operaciones"/>
      </sharedItems>
    </cacheField>
    <cacheField name="Fecha de Ingreso" numFmtId="14">
      <sharedItems containsSemiMixedTypes="0" containsNonDate="0" containsDate="1" containsString="0" minDate="2015-01-11T00:00:00" maxDate="2023-08-25T00:00:00"/>
    </cacheField>
    <cacheField name="Sueldo (S/)" numFmtId="0">
      <sharedItems containsSemiMixedTypes="0" containsString="0" containsNumber="1" containsInteger="1" minValue="1800" maxValue="5200" count="28">
        <n v="2600"/>
        <n v="2300"/>
        <n v="4400"/>
        <n v="3900"/>
        <n v="4000"/>
        <n v="2500"/>
        <n v="3000"/>
        <n v="4200"/>
        <n v="2200"/>
        <n v="2000"/>
        <n v="3100"/>
        <n v="5200"/>
        <n v="1800"/>
        <n v="5000"/>
        <n v="3800"/>
        <n v="2800"/>
        <n v="3700"/>
        <n v="3200"/>
        <n v="3300"/>
        <n v="2400"/>
        <n v="3500"/>
        <n v="4300"/>
        <n v="3600"/>
        <n v="2100"/>
        <n v="4800"/>
        <n v="4700"/>
        <n v="3400"/>
        <n v="4600"/>
      </sharedItems>
    </cacheField>
    <cacheField name="Antigüedad (años)" numFmtId="172">
      <sharedItems containsSemiMixedTypes="0" containsString="0" containsNumber="1" minValue="2.893150684931507" maxValue="11.5150684931506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"/>
    <s v="Paola Fernandez"/>
    <x v="0"/>
    <d v="2018-04-09T00:00:00"/>
    <x v="0"/>
    <n v="8.2712328767123289"/>
  </r>
  <r>
    <n v="2"/>
    <s v="Pedro Solis"/>
    <x v="1"/>
    <d v="2015-01-14T00:00:00"/>
    <x v="1"/>
    <n v="11.506849315068493"/>
  </r>
  <r>
    <n v="3"/>
    <s v="Cinthia Cordova"/>
    <x v="2"/>
    <d v="2023-04-18T00:00:00"/>
    <x v="2"/>
    <n v="3.2438356164383562"/>
  </r>
  <r>
    <n v="4"/>
    <s v="Alonso Castro"/>
    <x v="2"/>
    <d v="2021-03-25T00:00:00"/>
    <x v="3"/>
    <n v="5.3095890410958901"/>
  </r>
  <r>
    <n v="5"/>
    <s v="Camila Guzman"/>
    <x v="2"/>
    <d v="2016-07-03T00:00:00"/>
    <x v="4"/>
    <n v="10.038356164383561"/>
  </r>
  <r>
    <n v="6"/>
    <s v="Renzo Castro"/>
    <x v="2"/>
    <d v="2023-08-24T00:00:00"/>
    <x v="5"/>
    <n v="2.893150684931507"/>
  </r>
  <r>
    <n v="7"/>
    <s v="Milagros Solis"/>
    <x v="1"/>
    <d v="2020-11-10T00:00:00"/>
    <x v="6"/>
    <n v="5.6794520547945204"/>
  </r>
  <r>
    <n v="8"/>
    <s v="Jose Nunez"/>
    <x v="3"/>
    <d v="2016-04-03T00:00:00"/>
    <x v="7"/>
    <n v="10.287671232876713"/>
  </r>
  <r>
    <n v="9"/>
    <s v="Gabriela Morales"/>
    <x v="3"/>
    <d v="2019-04-12T00:00:00"/>
    <x v="8"/>
    <n v="7.2630136986301368"/>
  </r>
  <r>
    <n v="10"/>
    <s v="Esteban Aguilar"/>
    <x v="0"/>
    <d v="2022-03-08T00:00:00"/>
    <x v="7"/>
    <n v="4.3561643835616435"/>
  </r>
  <r>
    <n v="11"/>
    <s v="Brenda Nunez"/>
    <x v="0"/>
    <d v="2018-01-11T00:00:00"/>
    <x v="9"/>
    <n v="8.5123287671232877"/>
  </r>
  <r>
    <n v="12"/>
    <s v="Victor Castro"/>
    <x v="2"/>
    <d v="2020-10-07T00:00:00"/>
    <x v="10"/>
    <n v="5.7726027397260271"/>
  </r>
  <r>
    <n v="13"/>
    <s v="Milagros Quispe"/>
    <x v="4"/>
    <d v="2018-03-09T00:00:00"/>
    <x v="11"/>
    <n v="8.3561643835616444"/>
  </r>
  <r>
    <n v="14"/>
    <s v="Alonso Salazar"/>
    <x v="1"/>
    <d v="2018-06-13T00:00:00"/>
    <x v="0"/>
    <n v="8.0931506849315067"/>
  </r>
  <r>
    <n v="15"/>
    <s v="Andrea Vega"/>
    <x v="4"/>
    <d v="2021-03-21T00:00:00"/>
    <x v="8"/>
    <n v="5.3205479452054796"/>
  </r>
  <r>
    <n v="16"/>
    <s v="Alberto Rivera"/>
    <x v="3"/>
    <d v="2016-01-18T00:00:00"/>
    <x v="11"/>
    <n v="10.495890410958904"/>
  </r>
  <r>
    <n v="17"/>
    <s v="Daniela Vega"/>
    <x v="3"/>
    <d v="2022-03-14T00:00:00"/>
    <x v="12"/>
    <n v="4.3397260273972602"/>
  </r>
  <r>
    <n v="18"/>
    <s v="Fernando Rivera"/>
    <x v="4"/>
    <d v="2019-02-17T00:00:00"/>
    <x v="13"/>
    <n v="7.4109589041095889"/>
  </r>
  <r>
    <n v="19"/>
    <s v="Fiorella Flores"/>
    <x v="4"/>
    <d v="2015-09-18T00:00:00"/>
    <x v="14"/>
    <n v="10.830136986301369"/>
  </r>
  <r>
    <n v="20"/>
    <s v="Jorge Rojas"/>
    <x v="4"/>
    <d v="2016-04-02T00:00:00"/>
    <x v="1"/>
    <n v="10.29041095890411"/>
  </r>
  <r>
    <n v="21"/>
    <s v="Lucia Aguilar"/>
    <x v="4"/>
    <d v="2022-11-05T00:00:00"/>
    <x v="15"/>
    <n v="3.6931506849315068"/>
  </r>
  <r>
    <n v="22"/>
    <s v="Renzo Salazar"/>
    <x v="4"/>
    <d v="2018-12-18T00:00:00"/>
    <x v="16"/>
    <n v="7.5780821917808217"/>
  </r>
  <r>
    <n v="23"/>
    <s v="Gabriela Quispe"/>
    <x v="1"/>
    <d v="2018-02-15T00:00:00"/>
    <x v="17"/>
    <n v="8.4164383561643827"/>
  </r>
  <r>
    <n v="24"/>
    <s v="Carlos Paredes"/>
    <x v="1"/>
    <d v="2018-10-08T00:00:00"/>
    <x v="12"/>
    <n v="7.7726027397260271"/>
  </r>
  <r>
    <n v="25"/>
    <s v="Andrea Nunez"/>
    <x v="2"/>
    <d v="2016-06-02T00:00:00"/>
    <x v="13"/>
    <n v="10.123287671232877"/>
  </r>
  <r>
    <n v="26"/>
    <s v="Gonzalo Chavez"/>
    <x v="1"/>
    <d v="2022-12-05T00:00:00"/>
    <x v="18"/>
    <n v="3.6109589041095891"/>
  </r>
  <r>
    <n v="27"/>
    <s v="Ximena Chavez"/>
    <x v="2"/>
    <d v="2021-11-04T00:00:00"/>
    <x v="4"/>
    <n v="4.6958904109589037"/>
  </r>
  <r>
    <n v="28"/>
    <s v="Jose Vega"/>
    <x v="2"/>
    <d v="2020-12-13T00:00:00"/>
    <x v="19"/>
    <n v="5.5890410958904111"/>
  </r>
  <r>
    <n v="29"/>
    <s v="Camila Aguilar"/>
    <x v="5"/>
    <d v="2017-07-05T00:00:00"/>
    <x v="20"/>
    <n v="9.0328767123287665"/>
  </r>
  <r>
    <n v="30"/>
    <s v="Diego Quispe"/>
    <x v="1"/>
    <d v="2023-01-04T00:00:00"/>
    <x v="12"/>
    <n v="3.5287671232876714"/>
  </r>
  <r>
    <n v="31"/>
    <s v="Natalia Morales"/>
    <x v="5"/>
    <d v="2018-08-16T00:00:00"/>
    <x v="21"/>
    <n v="7.9178082191780819"/>
  </r>
  <r>
    <n v="32"/>
    <s v="Esteban Herrera"/>
    <x v="2"/>
    <d v="2022-05-13T00:00:00"/>
    <x v="22"/>
    <n v="4.1753424657534248"/>
  </r>
  <r>
    <n v="33"/>
    <s v="Brenda Mendoza"/>
    <x v="4"/>
    <d v="2018-05-07T00:00:00"/>
    <x v="23"/>
    <n v="8.1945205479452063"/>
  </r>
  <r>
    <n v="34"/>
    <s v="Pedro Ramirez"/>
    <x v="0"/>
    <d v="2015-01-11T00:00:00"/>
    <x v="24"/>
    <n v="11.515068493150684"/>
  </r>
  <r>
    <n v="35"/>
    <s v="Valeria Ramirez"/>
    <x v="1"/>
    <d v="2016-03-03T00:00:00"/>
    <x v="8"/>
    <n v="10.372602739726027"/>
  </r>
  <r>
    <n v="36"/>
    <s v="Andres Herrera"/>
    <x v="2"/>
    <d v="2015-04-19T00:00:00"/>
    <x v="1"/>
    <n v="11.246575342465754"/>
  </r>
  <r>
    <n v="37"/>
    <s v="Cinthia Guzman"/>
    <x v="3"/>
    <d v="2020-11-07T00:00:00"/>
    <x v="18"/>
    <n v="5.6876712328767125"/>
  </r>
  <r>
    <n v="38"/>
    <s v="Manuel Rojas"/>
    <x v="5"/>
    <d v="2015-02-11T00:00:00"/>
    <x v="25"/>
    <n v="11.43013698630137"/>
  </r>
  <r>
    <n v="39"/>
    <s v="Elena Vega"/>
    <x v="2"/>
    <d v="2023-04-18T00:00:00"/>
    <x v="26"/>
    <n v="3.2438356164383562"/>
  </r>
  <r>
    <n v="40"/>
    <s v="Jorge Solis"/>
    <x v="4"/>
    <d v="2017-05-12T00:00:00"/>
    <x v="27"/>
    <n v="9.1808219178082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/>
  <pivotFields count="6">
    <pivotField showAll="0"/>
    <pivotField showAll="0"/>
    <pivotField axis="axisRow" showAll="0">
      <items count="7">
        <item x="2"/>
        <item x="4"/>
        <item x="0"/>
        <item x="3"/>
        <item x="5"/>
        <item x="1"/>
        <item t="default"/>
      </items>
    </pivotField>
    <pivotField numFmtId="14" showAll="0"/>
    <pivotField dataField="1" showAll="0"/>
    <pivotField numFmtId="172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Sueldo (S/)" fld="4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blEmpleados" displayName="tblEmpleados" ref="A1:F42" totalsRowCount="1" headerRowDxfId="8" dataDxfId="9">
  <autoFilter ref="A1:F42"/>
  <tableColumns count="6">
    <tableColumn id="1" name="ID" dataDxfId="13" totalsRowDxfId="7"/>
    <tableColumn id="2" name="Nombre" dataDxfId="12" totalsRowDxfId="6"/>
    <tableColumn id="3" name="Área" dataDxfId="11" totalsRowDxfId="5"/>
    <tableColumn id="4" name="Fecha de Ingreso" dataDxfId="10" totalsRowDxfId="4"/>
    <tableColumn id="5" name="Sueldo (S/)" totalsRowFunction="sum" dataDxfId="1" totalsRowDxfId="3"/>
    <tableColumn id="7" name="Antigüedad (años)" dataDxfId="0" totalsRowDxfId="2">
      <calculatedColumnFormula>+($J$3-tblEmpleados[[#This Row],[Fecha de Ingreso]])/365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6" sqref="B6"/>
    </sheetView>
  </sheetViews>
  <sheetFormatPr baseColWidth="10" defaultRowHeight="15" x14ac:dyDescent="0.25"/>
  <cols>
    <col min="1" max="1" width="17.5703125" bestFit="1" customWidth="1"/>
    <col min="2" max="2" width="23" customWidth="1"/>
  </cols>
  <sheetData>
    <row r="3" spans="1:2" x14ac:dyDescent="0.25">
      <c r="A3" s="8" t="s">
        <v>71</v>
      </c>
      <c r="B3" t="s">
        <v>72</v>
      </c>
    </row>
    <row r="4" spans="1:2" x14ac:dyDescent="0.25">
      <c r="A4" s="9" t="s">
        <v>10</v>
      </c>
      <c r="B4" s="10">
        <v>3509.090909090909</v>
      </c>
    </row>
    <row r="5" spans="1:2" x14ac:dyDescent="0.25">
      <c r="A5" s="9" t="s">
        <v>22</v>
      </c>
      <c r="B5" s="10">
        <v>3522.2222222222222</v>
      </c>
    </row>
    <row r="6" spans="1:2" x14ac:dyDescent="0.25">
      <c r="A6" s="9" t="s">
        <v>6</v>
      </c>
      <c r="B6" s="10">
        <v>3400</v>
      </c>
    </row>
    <row r="7" spans="1:2" x14ac:dyDescent="0.25">
      <c r="A7" s="9" t="s">
        <v>16</v>
      </c>
      <c r="B7" s="10">
        <v>3340</v>
      </c>
    </row>
    <row r="8" spans="1:2" x14ac:dyDescent="0.25">
      <c r="A8" s="9" t="s">
        <v>39</v>
      </c>
      <c r="B8" s="10">
        <v>4166.666666666667</v>
      </c>
    </row>
    <row r="9" spans="1:2" x14ac:dyDescent="0.25">
      <c r="A9" s="9" t="s">
        <v>8</v>
      </c>
      <c r="B9" s="10">
        <v>2525</v>
      </c>
    </row>
    <row r="10" spans="1:2" x14ac:dyDescent="0.25">
      <c r="A10" s="9" t="s">
        <v>70</v>
      </c>
      <c r="B10" s="10">
        <v>3332.5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2" workbookViewId="0">
      <selection activeCell="E5" sqref="E5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14" customWidth="1"/>
    <col min="4" max="4" width="20.7109375" customWidth="1"/>
    <col min="5" max="5" width="16" customWidth="1"/>
    <col min="6" max="6" width="24.42578125" customWidth="1"/>
    <col min="8" max="8" width="12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</row>
    <row r="2" spans="1:10" x14ac:dyDescent="0.25">
      <c r="A2" s="2">
        <v>1</v>
      </c>
      <c r="B2" s="2" t="s">
        <v>5</v>
      </c>
      <c r="C2" s="2" t="s">
        <v>6</v>
      </c>
      <c r="D2" s="5">
        <v>43199</v>
      </c>
      <c r="E2" s="2">
        <v>2600</v>
      </c>
      <c r="F2" s="7">
        <f ca="1">+($J$3-tblEmpleados[[#This Row],[Fecha de Ingreso]])/365</f>
        <v>8.2712328767123289</v>
      </c>
      <c r="J2" t="s">
        <v>69</v>
      </c>
    </row>
    <row r="3" spans="1:10" x14ac:dyDescent="0.25">
      <c r="A3" s="2">
        <v>2</v>
      </c>
      <c r="B3" s="2" t="s">
        <v>7</v>
      </c>
      <c r="C3" s="2" t="s">
        <v>8</v>
      </c>
      <c r="D3" s="5">
        <v>42018</v>
      </c>
      <c r="E3" s="2">
        <v>2300</v>
      </c>
      <c r="F3" s="7">
        <f ca="1">+($J$3-tblEmpleados[[#This Row],[Fecha de Ingreso]])/365</f>
        <v>11.506849315068493</v>
      </c>
      <c r="J3" s="6">
        <f ca="1">+TODAY()</f>
        <v>46218</v>
      </c>
    </row>
    <row r="4" spans="1:10" x14ac:dyDescent="0.25">
      <c r="A4" s="2">
        <v>3</v>
      </c>
      <c r="B4" s="2" t="s">
        <v>9</v>
      </c>
      <c r="C4" s="2" t="s">
        <v>10</v>
      </c>
      <c r="D4" s="5">
        <v>45034</v>
      </c>
      <c r="E4" s="2">
        <v>4400</v>
      </c>
      <c r="F4" s="7">
        <f ca="1">+($J$3-tblEmpleados[[#This Row],[Fecha de Ingreso]])/365</f>
        <v>3.2438356164383562</v>
      </c>
    </row>
    <row r="5" spans="1:10" x14ac:dyDescent="0.25">
      <c r="A5" s="2">
        <v>4</v>
      </c>
      <c r="B5" s="2" t="s">
        <v>11</v>
      </c>
      <c r="C5" s="2" t="s">
        <v>10</v>
      </c>
      <c r="D5" s="5">
        <v>44280</v>
      </c>
      <c r="E5" s="2">
        <v>3900</v>
      </c>
      <c r="F5" s="7">
        <f ca="1">+($J$3-tblEmpleados[[#This Row],[Fecha de Ingreso]])/365</f>
        <v>5.3095890410958901</v>
      </c>
    </row>
    <row r="6" spans="1:10" x14ac:dyDescent="0.25">
      <c r="A6" s="2">
        <v>5</v>
      </c>
      <c r="B6" s="2" t="s">
        <v>12</v>
      </c>
      <c r="C6" s="2" t="s">
        <v>10</v>
      </c>
      <c r="D6" s="5">
        <v>42554</v>
      </c>
      <c r="E6" s="2">
        <v>4000</v>
      </c>
      <c r="F6" s="7">
        <f ca="1">+($J$3-tblEmpleados[[#This Row],[Fecha de Ingreso]])/365</f>
        <v>10.038356164383561</v>
      </c>
    </row>
    <row r="7" spans="1:10" x14ac:dyDescent="0.25">
      <c r="A7" s="2">
        <v>6</v>
      </c>
      <c r="B7" s="2" t="s">
        <v>13</v>
      </c>
      <c r="C7" s="2" t="s">
        <v>10</v>
      </c>
      <c r="D7" s="5">
        <v>45162</v>
      </c>
      <c r="E7" s="2">
        <v>2500</v>
      </c>
      <c r="F7" s="7">
        <f ca="1">+($J$3-tblEmpleados[[#This Row],[Fecha de Ingreso]])/365</f>
        <v>2.893150684931507</v>
      </c>
    </row>
    <row r="8" spans="1:10" x14ac:dyDescent="0.25">
      <c r="A8" s="2">
        <v>7</v>
      </c>
      <c r="B8" s="2" t="s">
        <v>14</v>
      </c>
      <c r="C8" s="2" t="s">
        <v>8</v>
      </c>
      <c r="D8" s="5">
        <v>44145</v>
      </c>
      <c r="E8" s="2">
        <v>3000</v>
      </c>
      <c r="F8" s="7">
        <f ca="1">+($J$3-tblEmpleados[[#This Row],[Fecha de Ingreso]])/365</f>
        <v>5.6794520547945204</v>
      </c>
    </row>
    <row r="9" spans="1:10" x14ac:dyDescent="0.25">
      <c r="A9" s="2">
        <v>8</v>
      </c>
      <c r="B9" s="2" t="s">
        <v>15</v>
      </c>
      <c r="C9" s="2" t="s">
        <v>16</v>
      </c>
      <c r="D9" s="5">
        <v>42463</v>
      </c>
      <c r="E9" s="2">
        <v>4200</v>
      </c>
      <c r="F9" s="7">
        <f ca="1">+($J$3-tblEmpleados[[#This Row],[Fecha de Ingreso]])/365</f>
        <v>10.287671232876713</v>
      </c>
    </row>
    <row r="10" spans="1:10" x14ac:dyDescent="0.25">
      <c r="A10" s="2">
        <v>9</v>
      </c>
      <c r="B10" s="2" t="s">
        <v>17</v>
      </c>
      <c r="C10" s="2" t="s">
        <v>16</v>
      </c>
      <c r="D10" s="5">
        <v>43567</v>
      </c>
      <c r="E10" s="2">
        <v>2200</v>
      </c>
      <c r="F10" s="7">
        <f ca="1">+($J$3-tblEmpleados[[#This Row],[Fecha de Ingreso]])/365</f>
        <v>7.2630136986301368</v>
      </c>
    </row>
    <row r="11" spans="1:10" x14ac:dyDescent="0.25">
      <c r="A11" s="2">
        <v>10</v>
      </c>
      <c r="B11" s="2" t="s">
        <v>18</v>
      </c>
      <c r="C11" s="2" t="s">
        <v>6</v>
      </c>
      <c r="D11" s="5">
        <v>44628</v>
      </c>
      <c r="E11" s="2">
        <v>4200</v>
      </c>
      <c r="F11" s="7">
        <f ca="1">+($J$3-tblEmpleados[[#This Row],[Fecha de Ingreso]])/365</f>
        <v>4.3561643835616435</v>
      </c>
    </row>
    <row r="12" spans="1:10" x14ac:dyDescent="0.25">
      <c r="A12" s="2">
        <v>11</v>
      </c>
      <c r="B12" s="2" t="s">
        <v>19</v>
      </c>
      <c r="C12" s="2" t="s">
        <v>6</v>
      </c>
      <c r="D12" s="5">
        <v>43111</v>
      </c>
      <c r="E12" s="2">
        <v>2000</v>
      </c>
      <c r="F12" s="7">
        <f ca="1">+($J$3-tblEmpleados[[#This Row],[Fecha de Ingreso]])/365</f>
        <v>8.5123287671232877</v>
      </c>
    </row>
    <row r="13" spans="1:10" x14ac:dyDescent="0.25">
      <c r="A13" s="2">
        <v>12</v>
      </c>
      <c r="B13" s="2" t="s">
        <v>20</v>
      </c>
      <c r="C13" s="2" t="s">
        <v>10</v>
      </c>
      <c r="D13" s="5">
        <v>44111</v>
      </c>
      <c r="E13" s="2">
        <v>3100</v>
      </c>
      <c r="F13" s="7">
        <f ca="1">+($J$3-tblEmpleados[[#This Row],[Fecha de Ingreso]])/365</f>
        <v>5.7726027397260271</v>
      </c>
    </row>
    <row r="14" spans="1:10" x14ac:dyDescent="0.25">
      <c r="A14" s="2">
        <v>13</v>
      </c>
      <c r="B14" s="2" t="s">
        <v>21</v>
      </c>
      <c r="C14" s="2" t="s">
        <v>22</v>
      </c>
      <c r="D14" s="5">
        <v>43168</v>
      </c>
      <c r="E14" s="2">
        <v>5200</v>
      </c>
      <c r="F14" s="7">
        <f ca="1">+($J$3-tblEmpleados[[#This Row],[Fecha de Ingreso]])/365</f>
        <v>8.3561643835616444</v>
      </c>
    </row>
    <row r="15" spans="1:10" x14ac:dyDescent="0.25">
      <c r="A15" s="2">
        <v>14</v>
      </c>
      <c r="B15" s="2" t="s">
        <v>23</v>
      </c>
      <c r="C15" s="2" t="s">
        <v>8</v>
      </c>
      <c r="D15" s="5">
        <v>43264</v>
      </c>
      <c r="E15" s="2">
        <v>2600</v>
      </c>
      <c r="F15" s="7">
        <f ca="1">+($J$3-tblEmpleados[[#This Row],[Fecha de Ingreso]])/365</f>
        <v>8.0931506849315067</v>
      </c>
    </row>
    <row r="16" spans="1:10" x14ac:dyDescent="0.25">
      <c r="A16" s="2">
        <v>15</v>
      </c>
      <c r="B16" s="2" t="s">
        <v>24</v>
      </c>
      <c r="C16" s="2" t="s">
        <v>22</v>
      </c>
      <c r="D16" s="5">
        <v>44276</v>
      </c>
      <c r="E16" s="2">
        <v>2200</v>
      </c>
      <c r="F16" s="7">
        <f ca="1">+($J$3-tblEmpleados[[#This Row],[Fecha de Ingreso]])/365</f>
        <v>5.3205479452054796</v>
      </c>
    </row>
    <row r="17" spans="1:6" x14ac:dyDescent="0.25">
      <c r="A17" s="2">
        <v>16</v>
      </c>
      <c r="B17" s="2" t="s">
        <v>25</v>
      </c>
      <c r="C17" s="2" t="s">
        <v>16</v>
      </c>
      <c r="D17" s="5">
        <v>42387</v>
      </c>
      <c r="E17" s="2">
        <v>5200</v>
      </c>
      <c r="F17" s="7">
        <f ca="1">+($J$3-tblEmpleados[[#This Row],[Fecha de Ingreso]])/365</f>
        <v>10.495890410958904</v>
      </c>
    </row>
    <row r="18" spans="1:6" x14ac:dyDescent="0.25">
      <c r="A18" s="2">
        <v>17</v>
      </c>
      <c r="B18" s="2" t="s">
        <v>26</v>
      </c>
      <c r="C18" s="2" t="s">
        <v>16</v>
      </c>
      <c r="D18" s="5">
        <v>44634</v>
      </c>
      <c r="E18" s="2">
        <v>1800</v>
      </c>
      <c r="F18" s="7">
        <f ca="1">+($J$3-tblEmpleados[[#This Row],[Fecha de Ingreso]])/365</f>
        <v>4.3397260273972602</v>
      </c>
    </row>
    <row r="19" spans="1:6" x14ac:dyDescent="0.25">
      <c r="A19" s="2">
        <v>18</v>
      </c>
      <c r="B19" s="2" t="s">
        <v>27</v>
      </c>
      <c r="C19" s="2" t="s">
        <v>22</v>
      </c>
      <c r="D19" s="5">
        <v>43513</v>
      </c>
      <c r="E19" s="2">
        <v>5000</v>
      </c>
      <c r="F19" s="7">
        <f ca="1">+($J$3-tblEmpleados[[#This Row],[Fecha de Ingreso]])/365</f>
        <v>7.4109589041095889</v>
      </c>
    </row>
    <row r="20" spans="1:6" x14ac:dyDescent="0.25">
      <c r="A20" s="2">
        <v>19</v>
      </c>
      <c r="B20" s="2" t="s">
        <v>28</v>
      </c>
      <c r="C20" s="2" t="s">
        <v>22</v>
      </c>
      <c r="D20" s="5">
        <v>42265</v>
      </c>
      <c r="E20" s="2">
        <v>3800</v>
      </c>
      <c r="F20" s="7">
        <f ca="1">+($J$3-tblEmpleados[[#This Row],[Fecha de Ingreso]])/365</f>
        <v>10.830136986301369</v>
      </c>
    </row>
    <row r="21" spans="1:6" x14ac:dyDescent="0.25">
      <c r="A21" s="2">
        <v>20</v>
      </c>
      <c r="B21" s="2" t="s">
        <v>29</v>
      </c>
      <c r="C21" s="2" t="s">
        <v>22</v>
      </c>
      <c r="D21" s="5">
        <v>42462</v>
      </c>
      <c r="E21" s="2">
        <v>2300</v>
      </c>
      <c r="F21" s="7">
        <f ca="1">+($J$3-tblEmpleados[[#This Row],[Fecha de Ingreso]])/365</f>
        <v>10.29041095890411</v>
      </c>
    </row>
    <row r="22" spans="1:6" x14ac:dyDescent="0.25">
      <c r="A22" s="2">
        <v>21</v>
      </c>
      <c r="B22" s="2" t="s">
        <v>30</v>
      </c>
      <c r="C22" s="2" t="s">
        <v>22</v>
      </c>
      <c r="D22" s="5">
        <v>44870</v>
      </c>
      <c r="E22" s="2">
        <v>2800</v>
      </c>
      <c r="F22" s="7">
        <f ca="1">+($J$3-tblEmpleados[[#This Row],[Fecha de Ingreso]])/365</f>
        <v>3.6931506849315068</v>
      </c>
    </row>
    <row r="23" spans="1:6" x14ac:dyDescent="0.25">
      <c r="A23" s="2">
        <v>22</v>
      </c>
      <c r="B23" s="2" t="s">
        <v>31</v>
      </c>
      <c r="C23" s="2" t="s">
        <v>22</v>
      </c>
      <c r="D23" s="5">
        <v>43452</v>
      </c>
      <c r="E23" s="2">
        <v>3700</v>
      </c>
      <c r="F23" s="7">
        <f ca="1">+($J$3-tblEmpleados[[#This Row],[Fecha de Ingreso]])/365</f>
        <v>7.5780821917808217</v>
      </c>
    </row>
    <row r="24" spans="1:6" x14ac:dyDescent="0.25">
      <c r="A24" s="2">
        <v>23</v>
      </c>
      <c r="B24" s="2" t="s">
        <v>32</v>
      </c>
      <c r="C24" s="2" t="s">
        <v>8</v>
      </c>
      <c r="D24" s="5">
        <v>43146</v>
      </c>
      <c r="E24" s="2">
        <v>3200</v>
      </c>
      <c r="F24" s="7">
        <f ca="1">+($J$3-tblEmpleados[[#This Row],[Fecha de Ingreso]])/365</f>
        <v>8.4164383561643827</v>
      </c>
    </row>
    <row r="25" spans="1:6" x14ac:dyDescent="0.25">
      <c r="A25" s="2">
        <v>24</v>
      </c>
      <c r="B25" s="2" t="s">
        <v>33</v>
      </c>
      <c r="C25" s="2" t="s">
        <v>8</v>
      </c>
      <c r="D25" s="5">
        <v>43381</v>
      </c>
      <c r="E25" s="2">
        <v>1800</v>
      </c>
      <c r="F25" s="7">
        <f ca="1">+($J$3-tblEmpleados[[#This Row],[Fecha de Ingreso]])/365</f>
        <v>7.7726027397260271</v>
      </c>
    </row>
    <row r="26" spans="1:6" x14ac:dyDescent="0.25">
      <c r="A26" s="2">
        <v>25</v>
      </c>
      <c r="B26" s="2" t="s">
        <v>34</v>
      </c>
      <c r="C26" s="2" t="s">
        <v>10</v>
      </c>
      <c r="D26" s="5">
        <v>42523</v>
      </c>
      <c r="E26" s="2">
        <v>5000</v>
      </c>
      <c r="F26" s="7">
        <f ca="1">+($J$3-tblEmpleados[[#This Row],[Fecha de Ingreso]])/365</f>
        <v>10.123287671232877</v>
      </c>
    </row>
    <row r="27" spans="1:6" x14ac:dyDescent="0.25">
      <c r="A27" s="2">
        <v>26</v>
      </c>
      <c r="B27" s="2" t="s">
        <v>35</v>
      </c>
      <c r="C27" s="2" t="s">
        <v>8</v>
      </c>
      <c r="D27" s="5">
        <v>44900</v>
      </c>
      <c r="E27" s="2">
        <v>3300</v>
      </c>
      <c r="F27" s="7">
        <f ca="1">+($J$3-tblEmpleados[[#This Row],[Fecha de Ingreso]])/365</f>
        <v>3.6109589041095891</v>
      </c>
    </row>
    <row r="28" spans="1:6" x14ac:dyDescent="0.25">
      <c r="A28" s="2">
        <v>27</v>
      </c>
      <c r="B28" s="2" t="s">
        <v>36</v>
      </c>
      <c r="C28" s="2" t="s">
        <v>10</v>
      </c>
      <c r="D28" s="5">
        <v>44504</v>
      </c>
      <c r="E28" s="2">
        <v>4000</v>
      </c>
      <c r="F28" s="7">
        <f ca="1">+($J$3-tblEmpleados[[#This Row],[Fecha de Ingreso]])/365</f>
        <v>4.6958904109589037</v>
      </c>
    </row>
    <row r="29" spans="1:6" x14ac:dyDescent="0.25">
      <c r="A29" s="2">
        <v>28</v>
      </c>
      <c r="B29" s="2" t="s">
        <v>37</v>
      </c>
      <c r="C29" s="2" t="s">
        <v>10</v>
      </c>
      <c r="D29" s="5">
        <v>44178</v>
      </c>
      <c r="E29" s="2">
        <v>2400</v>
      </c>
      <c r="F29" s="7">
        <f ca="1">+($J$3-tblEmpleados[[#This Row],[Fecha de Ingreso]])/365</f>
        <v>5.5890410958904111</v>
      </c>
    </row>
    <row r="30" spans="1:6" x14ac:dyDescent="0.25">
      <c r="A30" s="2">
        <v>29</v>
      </c>
      <c r="B30" s="2" t="s">
        <v>38</v>
      </c>
      <c r="C30" s="2" t="s">
        <v>39</v>
      </c>
      <c r="D30" s="5">
        <v>42921</v>
      </c>
      <c r="E30" s="2">
        <v>3500</v>
      </c>
      <c r="F30" s="7">
        <f ca="1">+($J$3-tblEmpleados[[#This Row],[Fecha de Ingreso]])/365</f>
        <v>9.0328767123287665</v>
      </c>
    </row>
    <row r="31" spans="1:6" x14ac:dyDescent="0.25">
      <c r="A31" s="2">
        <v>30</v>
      </c>
      <c r="B31" s="2" t="s">
        <v>40</v>
      </c>
      <c r="C31" s="2" t="s">
        <v>8</v>
      </c>
      <c r="D31" s="5">
        <v>44930</v>
      </c>
      <c r="E31" s="2">
        <v>1800</v>
      </c>
      <c r="F31" s="7">
        <f ca="1">+($J$3-tblEmpleados[[#This Row],[Fecha de Ingreso]])/365</f>
        <v>3.5287671232876714</v>
      </c>
    </row>
    <row r="32" spans="1:6" x14ac:dyDescent="0.25">
      <c r="A32" s="2">
        <v>31</v>
      </c>
      <c r="B32" s="2" t="s">
        <v>41</v>
      </c>
      <c r="C32" s="2" t="s">
        <v>39</v>
      </c>
      <c r="D32" s="5">
        <v>43328</v>
      </c>
      <c r="E32" s="2">
        <v>4300</v>
      </c>
      <c r="F32" s="7">
        <f ca="1">+($J$3-tblEmpleados[[#This Row],[Fecha de Ingreso]])/365</f>
        <v>7.9178082191780819</v>
      </c>
    </row>
    <row r="33" spans="1:6" x14ac:dyDescent="0.25">
      <c r="A33" s="2">
        <v>32</v>
      </c>
      <c r="B33" s="2" t="s">
        <v>42</v>
      </c>
      <c r="C33" s="2" t="s">
        <v>10</v>
      </c>
      <c r="D33" s="5">
        <v>44694</v>
      </c>
      <c r="E33" s="2">
        <v>3600</v>
      </c>
      <c r="F33" s="7">
        <f ca="1">+($J$3-tblEmpleados[[#This Row],[Fecha de Ingreso]])/365</f>
        <v>4.1753424657534248</v>
      </c>
    </row>
    <row r="34" spans="1:6" x14ac:dyDescent="0.25">
      <c r="A34" s="2">
        <v>33</v>
      </c>
      <c r="B34" s="2" t="s">
        <v>43</v>
      </c>
      <c r="C34" s="2" t="s">
        <v>22</v>
      </c>
      <c r="D34" s="5">
        <v>43227</v>
      </c>
      <c r="E34" s="2">
        <v>2100</v>
      </c>
      <c r="F34" s="7">
        <f ca="1">+($J$3-tblEmpleados[[#This Row],[Fecha de Ingreso]])/365</f>
        <v>8.1945205479452063</v>
      </c>
    </row>
    <row r="35" spans="1:6" x14ac:dyDescent="0.25">
      <c r="A35" s="2">
        <v>34</v>
      </c>
      <c r="B35" s="2" t="s">
        <v>44</v>
      </c>
      <c r="C35" s="2" t="s">
        <v>6</v>
      </c>
      <c r="D35" s="5">
        <v>42015</v>
      </c>
      <c r="E35" s="2">
        <v>4800</v>
      </c>
      <c r="F35" s="7">
        <f ca="1">+($J$3-tblEmpleados[[#This Row],[Fecha de Ingreso]])/365</f>
        <v>11.515068493150684</v>
      </c>
    </row>
    <row r="36" spans="1:6" x14ac:dyDescent="0.25">
      <c r="A36" s="2">
        <v>35</v>
      </c>
      <c r="B36" s="2" t="s">
        <v>45</v>
      </c>
      <c r="C36" s="2" t="s">
        <v>8</v>
      </c>
      <c r="D36" s="5">
        <v>42432</v>
      </c>
      <c r="E36" s="2">
        <v>2200</v>
      </c>
      <c r="F36" s="7">
        <f ca="1">+($J$3-tblEmpleados[[#This Row],[Fecha de Ingreso]])/365</f>
        <v>10.372602739726027</v>
      </c>
    </row>
    <row r="37" spans="1:6" x14ac:dyDescent="0.25">
      <c r="A37" s="2">
        <v>36</v>
      </c>
      <c r="B37" s="2" t="s">
        <v>46</v>
      </c>
      <c r="C37" s="2" t="s">
        <v>10</v>
      </c>
      <c r="D37" s="5">
        <v>42113</v>
      </c>
      <c r="E37" s="2">
        <v>2300</v>
      </c>
      <c r="F37" s="7">
        <f ca="1">+($J$3-tblEmpleados[[#This Row],[Fecha de Ingreso]])/365</f>
        <v>11.246575342465754</v>
      </c>
    </row>
    <row r="38" spans="1:6" x14ac:dyDescent="0.25">
      <c r="A38" s="2">
        <v>37</v>
      </c>
      <c r="B38" s="2" t="s">
        <v>47</v>
      </c>
      <c r="C38" s="2" t="s">
        <v>16</v>
      </c>
      <c r="D38" s="5">
        <v>44142</v>
      </c>
      <c r="E38" s="2">
        <v>3300</v>
      </c>
      <c r="F38" s="7">
        <f ca="1">+($J$3-tblEmpleados[[#This Row],[Fecha de Ingreso]])/365</f>
        <v>5.6876712328767125</v>
      </c>
    </row>
    <row r="39" spans="1:6" x14ac:dyDescent="0.25">
      <c r="A39" s="2">
        <v>38</v>
      </c>
      <c r="B39" s="2" t="s">
        <v>48</v>
      </c>
      <c r="C39" s="2" t="s">
        <v>39</v>
      </c>
      <c r="D39" s="5">
        <v>42046</v>
      </c>
      <c r="E39" s="2">
        <v>4700</v>
      </c>
      <c r="F39" s="7">
        <f ca="1">+($J$3-tblEmpleados[[#This Row],[Fecha de Ingreso]])/365</f>
        <v>11.43013698630137</v>
      </c>
    </row>
    <row r="40" spans="1:6" x14ac:dyDescent="0.25">
      <c r="A40" s="2">
        <v>39</v>
      </c>
      <c r="B40" s="2" t="s">
        <v>49</v>
      </c>
      <c r="C40" s="2" t="s">
        <v>10</v>
      </c>
      <c r="D40" s="5">
        <v>45034</v>
      </c>
      <c r="E40" s="2">
        <v>3400</v>
      </c>
      <c r="F40" s="7">
        <f ca="1">+($J$3-tblEmpleados[[#This Row],[Fecha de Ingreso]])/365</f>
        <v>3.2438356164383562</v>
      </c>
    </row>
    <row r="41" spans="1:6" x14ac:dyDescent="0.25">
      <c r="A41" s="2">
        <v>40</v>
      </c>
      <c r="B41" s="2" t="s">
        <v>50</v>
      </c>
      <c r="C41" s="2" t="s">
        <v>22</v>
      </c>
      <c r="D41" s="5">
        <v>42867</v>
      </c>
      <c r="E41" s="2">
        <v>4600</v>
      </c>
      <c r="F41" s="7">
        <f ca="1">+($J$3-tblEmpleados[[#This Row],[Fecha de Ingreso]])/365</f>
        <v>9.1808219178082187</v>
      </c>
    </row>
    <row r="42" spans="1:6" x14ac:dyDescent="0.25">
      <c r="A42" s="2"/>
      <c r="B42" s="2"/>
      <c r="C42" s="2"/>
      <c r="D42" s="2"/>
      <c r="E42" s="2">
        <f>SUBTOTAL(109,tblEmpleados[Sueldo (S/)])</f>
        <v>133300</v>
      </c>
      <c r="F42" s="2"/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A21" sqref="A21"/>
    </sheetView>
  </sheetViews>
  <sheetFormatPr baseColWidth="10" defaultColWidth="9.140625" defaultRowHeight="15" x14ac:dyDescent="0.25"/>
  <cols>
    <col min="1" max="1" width="115" customWidth="1"/>
  </cols>
  <sheetData>
    <row r="1" spans="1:1" ht="16.5" x14ac:dyDescent="0.25">
      <c r="A1" s="3" t="s">
        <v>51</v>
      </c>
    </row>
    <row r="2" spans="1:1" x14ac:dyDescent="0.25">
      <c r="A2" s="4"/>
    </row>
    <row r="3" spans="1:1" x14ac:dyDescent="0.25">
      <c r="A3" s="4" t="s">
        <v>52</v>
      </c>
    </row>
    <row r="4" spans="1:1" x14ac:dyDescent="0.25">
      <c r="A4" s="4"/>
    </row>
    <row r="5" spans="1:1" x14ac:dyDescent="0.25">
      <c r="A5" s="4" t="s">
        <v>53</v>
      </c>
    </row>
    <row r="6" spans="1:1" x14ac:dyDescent="0.25">
      <c r="A6" s="4" t="s">
        <v>54</v>
      </c>
    </row>
    <row r="7" spans="1:1" x14ac:dyDescent="0.25">
      <c r="A7" s="4" t="s">
        <v>55</v>
      </c>
    </row>
    <row r="8" spans="1:1" x14ac:dyDescent="0.25">
      <c r="A8" s="4" t="s">
        <v>56</v>
      </c>
    </row>
    <row r="9" spans="1:1" x14ac:dyDescent="0.25">
      <c r="A9" s="4" t="s">
        <v>57</v>
      </c>
    </row>
    <row r="10" spans="1:1" x14ac:dyDescent="0.25">
      <c r="A10" s="4"/>
    </row>
    <row r="11" spans="1:1" x14ac:dyDescent="0.25">
      <c r="A11" s="4" t="s">
        <v>58</v>
      </c>
    </row>
    <row r="12" spans="1:1" x14ac:dyDescent="0.25">
      <c r="A12" s="4" t="s">
        <v>59</v>
      </c>
    </row>
    <row r="13" spans="1:1" x14ac:dyDescent="0.25">
      <c r="A13" s="4" t="s">
        <v>60</v>
      </c>
    </row>
    <row r="14" spans="1:1" x14ac:dyDescent="0.25">
      <c r="A14" s="4" t="s">
        <v>61</v>
      </c>
    </row>
    <row r="15" spans="1:1" x14ac:dyDescent="0.25">
      <c r="A15" s="4" t="s">
        <v>62</v>
      </c>
    </row>
    <row r="16" spans="1:1" x14ac:dyDescent="0.25">
      <c r="A16" s="4" t="s">
        <v>63</v>
      </c>
    </row>
    <row r="17" spans="1:1" x14ac:dyDescent="0.25">
      <c r="A17" s="4" t="s">
        <v>64</v>
      </c>
    </row>
    <row r="18" spans="1:1" x14ac:dyDescent="0.25">
      <c r="A18" s="4" t="s">
        <v>65</v>
      </c>
    </row>
    <row r="19" spans="1:1" x14ac:dyDescent="0.25">
      <c r="A19" s="4" t="s">
        <v>66</v>
      </c>
    </row>
    <row r="20" spans="1:1" x14ac:dyDescent="0.25">
      <c r="A20" s="4"/>
    </row>
    <row r="21" spans="1:1" x14ac:dyDescent="0.25">
      <c r="A21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Tabla_dinamica_sueldos_promedio</vt:lpstr>
      <vt:lpstr>Datos_RRHH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2026-07-16T02:41:02Z</dcterms:created>
  <dcterms:modified xsi:type="dcterms:W3CDTF">2026-07-16T03:12:41Z</dcterms:modified>
</cp:coreProperties>
</file>