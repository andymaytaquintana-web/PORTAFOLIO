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Portafolio\practicando_excel\"/>
    </mc:Choice>
  </mc:AlternateContent>
  <xr:revisionPtr revIDLastSave="0" documentId="13_ncr:1_{83B2AD52-EDCB-4E92-A940-FDE2852543FF}" xr6:coauthVersionLast="47" xr6:coauthVersionMax="47" xr10:uidLastSave="{00000000-0000-0000-0000-000000000000}"/>
  <bookViews>
    <workbookView xWindow="-120" yWindow="-120" windowWidth="19440" windowHeight="15150" activeTab="2" xr2:uid="{00000000-000D-0000-FFFF-FFFF00000000}"/>
  </bookViews>
  <sheets>
    <sheet name="Productos" sheetId="1" r:id="rId1"/>
    <sheet name="Pedidos" sheetId="2" r:id="rId2"/>
    <sheet name="Resumen" sheetId="4" r:id="rId3"/>
    <sheet name="Instruccion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" i="2"/>
  <c r="G2" i="2"/>
  <c r="H2" i="2" s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B3" i="4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</calcChain>
</file>

<file path=xl/sharedStrings.xml><?xml version="1.0" encoding="utf-8"?>
<sst xmlns="http://schemas.openxmlformats.org/spreadsheetml/2006/main" count="150" uniqueCount="58">
  <si>
    <t>Producto</t>
  </si>
  <si>
    <t>Categoría</t>
  </si>
  <si>
    <t>Precio (S/)</t>
  </si>
  <si>
    <t>Laptop 14''</t>
  </si>
  <si>
    <t>Tecnología</t>
  </si>
  <si>
    <t>Mouse inalámbrico</t>
  </si>
  <si>
    <t>Teclado mecánico</t>
  </si>
  <si>
    <t>Monitor 24''</t>
  </si>
  <si>
    <t>Silla ergonómica</t>
  </si>
  <si>
    <t>Mobiliario</t>
  </si>
  <si>
    <t>Escritorio madera</t>
  </si>
  <si>
    <t>Impresora láser</t>
  </si>
  <si>
    <t>Archivador metálico</t>
  </si>
  <si>
    <t>Proyector portátil</t>
  </si>
  <si>
    <t>Lámpara de escritorio</t>
  </si>
  <si>
    <t>ID</t>
  </si>
  <si>
    <t>Vendedor</t>
  </si>
  <si>
    <t>Región</t>
  </si>
  <si>
    <t>Cantidad</t>
  </si>
  <si>
    <t>Renzo Salas</t>
  </si>
  <si>
    <t>Cusco</t>
  </si>
  <si>
    <t>Carlos Mendez</t>
  </si>
  <si>
    <t>Piura</t>
  </si>
  <si>
    <t>Lima</t>
  </si>
  <si>
    <t>Jorge Ramos</t>
  </si>
  <si>
    <t>Fiorella Diaz</t>
  </si>
  <si>
    <t>Arequipa</t>
  </si>
  <si>
    <t>Trujillo</t>
  </si>
  <si>
    <t>Ana Quispe</t>
  </si>
  <si>
    <t xml:space="preserve">Lima </t>
  </si>
  <si>
    <t>Ejercicio Fase 2 - BUSCARX + SUMAR.SI.CONJUNTO + Validación (Ventas)</t>
  </si>
  <si>
    <t>Contexto: Eres analista comercial junior. Te piden completar el reporte de pedidos con precio y categoría,</t>
  </si>
  <si>
    <t>calcular el total vendido, y dejar el archivo protegido contra errores de digitación a futuro.</t>
  </si>
  <si>
    <t>Tareas:</t>
  </si>
  <si>
    <t>1. Convierte ambas hojas en Tabla (Ctrl+T): la de Productos nómbrala 'tblProductos', la de Pedidos 'tblPedidos'.</t>
  </si>
  <si>
    <t>2. En 'tblPedidos', crea dos columnas nuevas: 'Categoría' y 'Precio', y tráelas con BUSCARX desde 'tblProductos'.</t>
  </si>
  <si>
    <t xml:space="preserve">   Ejemplo: =BUSCARX([@Producto]; tblProductos[Producto]; tblProductos[Categoría]; "No encontrado")</t>
  </si>
  <si>
    <t>3. IMPORTANTE: 3 filas (IDs 7, 18 y 25) te van a dar '#N/A' o 'No encontrado' a propósito.</t>
  </si>
  <si>
    <t xml:space="preserve">   Investiga por qué: revisa si el texto del producto en 'Pedidos' coincide EXACTO con el de 'Productos'</t>
  </si>
  <si>
    <t xml:space="preserve">   (pista: recuerda lo que aprendiste en la Fase 1 sobre espacios ocultos). Corrígelo tú mismo.</t>
  </si>
  <si>
    <t>4. Crea la columna 'Total' = Cantidad x Precio.</t>
  </si>
  <si>
    <t>5. En una zona aparte de la hoja (o una hoja nueva 'Resumen'), usa SUMAR.SI.CONJUNTO para calcular el total</t>
  </si>
  <si>
    <t xml:space="preserve">   vendido por un Vendedor Y una Región específicos al mismo tiempo. Ejemplo:</t>
  </si>
  <si>
    <t xml:space="preserve">   =SUMAR.SI.CONJUNTO(tblPedidos[Total]; tblPedidos[Vendedor]; "Carlos Mendez"; tblPedidos[Región]; "Lima")</t>
  </si>
  <si>
    <t xml:space="preserve">   Prueba cambiando el vendedor/región en celdas aparte (usa F4 para fijar si arrastras la fórmula).</t>
  </si>
  <si>
    <t>6. Fíjate en la columna 'Región': ya existen algunos registros mal escritos (minúsculas, espacios, mayúsculas</t>
  </si>
  <si>
    <t xml:space="preserve">   irregulares) que van a arruinar tu SUMAR.SI.CONJUNTO si no los detectas. Corrígelos manualmente primero.</t>
  </si>
  <si>
    <t>7. Aplica Validación de Datos en la columna 'Región' de 'tblPedidos' (Datos &gt; Validación de datos &gt; Lista)</t>
  </si>
  <si>
    <t xml:space="preserve">   con las 5 regiones válidas: Lima, Arequipa, Trujillo, Cusco, Piura. Agrega un mensaje de error personalizado.</t>
  </si>
  <si>
    <t xml:space="preserve">   Esto evita que a futuro alguien vuelva a escribir 'lima' o 'PIURA' por error.</t>
  </si>
  <si>
    <t>Verificación final: el total de la columna 'Total' sumado con Alt+= debe coincidir con la suma de todos los</t>
  </si>
  <si>
    <t>resultados de SUMAR.SI.CONJUNTO por cada combinación de Vendedor + Región.</t>
  </si>
  <si>
    <t>Categoria</t>
  </si>
  <si>
    <t>Precio</t>
  </si>
  <si>
    <t>Total</t>
  </si>
  <si>
    <t>Total vendido por un vendedor en una región específica</t>
  </si>
  <si>
    <t>SUMAR.SI.CONJUNTO(TablaPedidos[Total];TablaPedidos[Vendedor];"Jorge Ramos";TablaPedidos[Región];"Lima")</t>
  </si>
  <si>
    <t>Fiorela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</si>
</sst>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S/&quot;\ #,##0.00;[Red]\-&quot;S/&quot;\ #,##0.0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  <font>
      <b/>
      <sz val="13"/>
      <name val="Arial"/>
    </font>
    <font>
      <sz val="11"/>
      <name val="Arial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8" fontId="2" fillId="0" borderId="0" xfId="0" applyNumberFormat="1" applyFont="1"/>
    <xf numFmtId="0" fontId="5" fillId="0" borderId="0" xfId="0" applyFont="1"/>
    <xf numFmtId="0" fontId="6" fillId="2" borderId="0" xfId="0" applyFont="1" applyFill="1"/>
    <xf numFmtId="8" fontId="5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2" formatCode="&quot;S/&quot;\ #,##0.00;[Red]\-&quot;S/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87358B-9506-4433-869C-5B7F16512959}" name="TablaProductos" displayName="TablaProductos" ref="A1:C11" totalsRowShown="0" headerRowDxfId="12" dataDxfId="13">
  <autoFilter ref="A1:C11" xr:uid="{3A87358B-9506-4433-869C-5B7F16512959}"/>
  <tableColumns count="3">
    <tableColumn id="1" xr3:uid="{1366BF70-1528-4EE6-BF8A-877B23A8A6DB}" name="Producto" dataDxfId="14"/>
    <tableColumn id="2" xr3:uid="{4EB18C8B-A3D2-4454-9221-D55408C71415}" name="Categoría" dataDxfId="11"/>
    <tableColumn id="3" xr3:uid="{9C00EC26-29A3-4EEC-8F91-9F506F5F7C47}" name="Precio (S/)" dataDxf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156E9-10A0-45A6-8716-D8ED65FFD624}" name="TablaPedidos" displayName="TablaPedidos" ref="A1:H31" totalsRowShown="0" headerRowDxfId="3" dataDxfId="4">
  <autoFilter ref="A1:H31" xr:uid="{E75156E9-10A0-45A6-8716-D8ED65FFD624}">
    <filterColumn colId="2">
      <filters>
        <filter val="Ana Quispe"/>
      </filters>
    </filterColumn>
  </autoFilter>
  <tableColumns count="8">
    <tableColumn id="1" xr3:uid="{9D08FF3D-87C3-495B-A955-A47AEF3D897A}" name="ID" dataDxfId="9"/>
    <tableColumn id="2" xr3:uid="{0DD38A13-7636-4C70-BC22-BDF1DA7AA5D7}" name="Producto" dataDxfId="8"/>
    <tableColumn id="3" xr3:uid="{EDB5E9A4-1B9F-4B50-B322-B4D1B94132FA}" name="Vendedor" dataDxfId="7"/>
    <tableColumn id="4" xr3:uid="{03BB8992-B36A-4BF4-BAF5-29429C191221}" name="Región" dataDxfId="6"/>
    <tableColumn id="5" xr3:uid="{EEBFFFBC-618B-4771-8AC1-D9F8BEF87E95}" name="Cantidad" dataDxfId="5"/>
    <tableColumn id="8" xr3:uid="{9B833B4F-6EA4-46B9-AEFD-57A7D8129460}" name="Categoria" dataDxfId="2">
      <calculatedColumnFormula>+_xlfn.XLOOKUP(TablaPedidos[[#This Row],[Producto]],TablaProductos[Producto],TablaProductos[Categoría],"No encontrado")</calculatedColumnFormula>
    </tableColumn>
    <tableColumn id="9" xr3:uid="{BE759F98-C413-47BA-826C-E621C67C5BBA}" name="Precio" dataDxfId="1">
      <calculatedColumnFormula>+_xlfn.XLOOKUP(TablaPedidos[[#This Row],[Producto]],TablaProductos[Producto],TablaProductos[Precio (S/)], "No coincide")</calculatedColumnFormula>
    </tableColumn>
    <tableColumn id="11" xr3:uid="{7662D3D4-E63C-491B-B2B9-B63B427EEAEF}" name="Total" dataDxfId="0">
      <calculatedColumnFormula>+TablaPedidos[[#This Row],[Cantidad]]*TablaPedidos[[#This Row],[Precio]]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11"/>
  <sheetViews>
    <sheetView workbookViewId="0">
      <selection activeCell="C10" sqref="C10"/>
    </sheetView>
  </sheetViews>
  <sheetFormatPr baseColWidth="10" defaultColWidth="9.140625" defaultRowHeight="15" x14ac:dyDescent="0.25"/>
  <cols>
    <col min="1" max="1" width="21.5703125" bestFit="1" customWidth="1"/>
    <col min="2" max="2" width="13.140625" bestFit="1" customWidth="1"/>
    <col min="3" max="3" width="1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5">
        <v>3200</v>
      </c>
    </row>
    <row r="3" spans="1:3" x14ac:dyDescent="0.25">
      <c r="A3" s="2" t="s">
        <v>5</v>
      </c>
      <c r="B3" s="2" t="s">
        <v>4</v>
      </c>
      <c r="C3" s="5">
        <v>45</v>
      </c>
    </row>
    <row r="4" spans="1:3" x14ac:dyDescent="0.25">
      <c r="A4" s="2" t="s">
        <v>6</v>
      </c>
      <c r="B4" s="2" t="s">
        <v>4</v>
      </c>
      <c r="C4" s="5">
        <v>180</v>
      </c>
    </row>
    <row r="5" spans="1:3" x14ac:dyDescent="0.25">
      <c r="A5" s="2" t="s">
        <v>7</v>
      </c>
      <c r="B5" s="2" t="s">
        <v>4</v>
      </c>
      <c r="C5" s="5">
        <v>650</v>
      </c>
    </row>
    <row r="6" spans="1:3" x14ac:dyDescent="0.25">
      <c r="A6" s="2" t="s">
        <v>8</v>
      </c>
      <c r="B6" s="2" t="s">
        <v>9</v>
      </c>
      <c r="C6" s="5">
        <v>480</v>
      </c>
    </row>
    <row r="7" spans="1:3" x14ac:dyDescent="0.25">
      <c r="A7" s="2" t="s">
        <v>10</v>
      </c>
      <c r="B7" s="2" t="s">
        <v>9</v>
      </c>
      <c r="C7" s="5">
        <v>620</v>
      </c>
    </row>
    <row r="8" spans="1:3" x14ac:dyDescent="0.25">
      <c r="A8" s="2" t="s">
        <v>11</v>
      </c>
      <c r="B8" s="2" t="s">
        <v>4</v>
      </c>
      <c r="C8" s="5">
        <v>890</v>
      </c>
    </row>
    <row r="9" spans="1:3" x14ac:dyDescent="0.25">
      <c r="A9" s="2" t="s">
        <v>12</v>
      </c>
      <c r="B9" s="2" t="s">
        <v>9</v>
      </c>
      <c r="C9" s="5">
        <v>210</v>
      </c>
    </row>
    <row r="10" spans="1:3" x14ac:dyDescent="0.25">
      <c r="A10" s="2" t="s">
        <v>13</v>
      </c>
      <c r="B10" s="2" t="s">
        <v>4</v>
      </c>
      <c r="C10" s="5">
        <v>1450</v>
      </c>
    </row>
    <row r="11" spans="1:3" x14ac:dyDescent="0.25">
      <c r="A11" s="2" t="s">
        <v>14</v>
      </c>
      <c r="B11" s="2" t="s">
        <v>9</v>
      </c>
      <c r="C11" s="5">
        <v>65</v>
      </c>
    </row>
  </sheetData>
  <pageMargins left="0.75" right="0.75" top="1" bottom="1" header="0.5" footer="0.5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31"/>
  <sheetViews>
    <sheetView workbookViewId="0">
      <selection activeCell="N5" sqref="N5"/>
    </sheetView>
  </sheetViews>
  <sheetFormatPr baseColWidth="10" defaultColWidth="9.140625" defaultRowHeight="15" x14ac:dyDescent="0.25"/>
  <cols>
    <col min="1" max="1" width="5.42578125" bestFit="1" customWidth="1"/>
    <col min="2" max="2" width="21.5703125" bestFit="1" customWidth="1"/>
    <col min="3" max="3" width="15" bestFit="1" customWidth="1"/>
    <col min="4" max="4" width="10.5703125" bestFit="1" customWidth="1"/>
    <col min="5" max="5" width="12.28515625" bestFit="1" customWidth="1"/>
    <col min="6" max="6" width="13.140625" bestFit="1" customWidth="1"/>
    <col min="7" max="7" width="11.5703125" bestFit="1" customWidth="1"/>
    <col min="8" max="8" width="12.7109375" bestFit="1" customWidth="1"/>
    <col min="10" max="10" width="2" bestFit="1" customWidth="1"/>
    <col min="11" max="11" width="5" customWidth="1"/>
    <col min="14" max="14" width="6" bestFit="1" customWidth="1"/>
  </cols>
  <sheetData>
    <row r="1" spans="1:14" x14ac:dyDescent="0.25">
      <c r="A1" s="1" t="s">
        <v>15</v>
      </c>
      <c r="B1" s="1" t="s">
        <v>0</v>
      </c>
      <c r="C1" s="1" t="s">
        <v>16</v>
      </c>
      <c r="D1" s="1" t="s">
        <v>17</v>
      </c>
      <c r="E1" s="1" t="s">
        <v>18</v>
      </c>
      <c r="F1" s="7" t="s">
        <v>52</v>
      </c>
      <c r="G1" s="7" t="s">
        <v>53</v>
      </c>
      <c r="H1" s="7" t="s">
        <v>54</v>
      </c>
    </row>
    <row r="2" spans="1:14" x14ac:dyDescent="0.25">
      <c r="A2" s="2">
        <v>1</v>
      </c>
      <c r="B2" s="6" t="s">
        <v>6</v>
      </c>
      <c r="C2" s="6" t="s">
        <v>19</v>
      </c>
      <c r="D2" s="6" t="s">
        <v>20</v>
      </c>
      <c r="E2" s="2">
        <v>11</v>
      </c>
      <c r="F2" s="6" t="str">
        <f>+_xlfn.XLOOKUP(TablaPedidos[[#This Row],[Producto]],TablaProductos[Producto],TablaProductos[Categoría],"No encontrado")</f>
        <v>Tecnología</v>
      </c>
      <c r="G2" s="8">
        <f>+_xlfn.XLOOKUP(TablaPedidos[[#This Row],[Producto]],TablaProductos[Producto],TablaProductos[Precio (S/)], "No coincide")</f>
        <v>180</v>
      </c>
      <c r="H2" s="8">
        <f>+TablaPedidos[[#This Row],[Cantidad]]*TablaPedidos[[#This Row],[Precio]]</f>
        <v>1980</v>
      </c>
      <c r="J2">
        <f>+LEN(TablaPedidos[[#This Row],[Región]])</f>
        <v>5</v>
      </c>
      <c r="N2">
        <v>14500</v>
      </c>
    </row>
    <row r="3" spans="1:14" x14ac:dyDescent="0.25">
      <c r="A3" s="2">
        <v>2</v>
      </c>
      <c r="B3" s="2" t="s">
        <v>5</v>
      </c>
      <c r="C3" s="2" t="s">
        <v>21</v>
      </c>
      <c r="D3" s="6" t="s">
        <v>22</v>
      </c>
      <c r="E3" s="2">
        <v>2</v>
      </c>
      <c r="F3" s="6" t="str">
        <f>+_xlfn.XLOOKUP(TablaPedidos[[#This Row],[Producto]],TablaProductos[Producto],TablaProductos[Categoría],"No encontrado")</f>
        <v>Tecnología</v>
      </c>
      <c r="G3" s="8">
        <f>+_xlfn.XLOOKUP(TablaPedidos[[#This Row],[Producto]],TablaProductos[Producto],TablaProductos[Precio (S/)], "No coincide")</f>
        <v>45</v>
      </c>
      <c r="H3" s="8">
        <f>+TablaPedidos[[#This Row],[Cantidad]]*TablaPedidos[[#This Row],[Precio]]</f>
        <v>90</v>
      </c>
      <c r="I3" s="6"/>
      <c r="J3">
        <f>+LEN(TablaPedidos[[#This Row],[Región]])</f>
        <v>5</v>
      </c>
      <c r="N3">
        <v>360</v>
      </c>
    </row>
    <row r="4" spans="1:14" x14ac:dyDescent="0.25">
      <c r="A4" s="2">
        <v>3</v>
      </c>
      <c r="B4" s="2" t="s">
        <v>14</v>
      </c>
      <c r="C4" s="2" t="s">
        <v>19</v>
      </c>
      <c r="D4" s="6" t="s">
        <v>23</v>
      </c>
      <c r="E4" s="2">
        <v>15</v>
      </c>
      <c r="F4" s="6" t="str">
        <f>+_xlfn.XLOOKUP(TablaPedidos[[#This Row],[Producto]],TablaProductos[Producto],TablaProductos[Categoría],"No encontrado")</f>
        <v>Mobiliario</v>
      </c>
      <c r="G4" s="8">
        <f>+_xlfn.XLOOKUP(TablaPedidos[[#This Row],[Producto]],TablaProductos[Producto],TablaProductos[Precio (S/)], "No coincide")</f>
        <v>65</v>
      </c>
      <c r="H4" s="8">
        <f>+TablaPedidos[[#This Row],[Cantidad]]*TablaPedidos[[#This Row],[Precio]]</f>
        <v>975</v>
      </c>
      <c r="J4">
        <f>+LEN(TablaPedidos[[#This Row],[Región]])</f>
        <v>4</v>
      </c>
      <c r="N4">
        <f>+SUM(N2:N3)</f>
        <v>14860</v>
      </c>
    </row>
    <row r="5" spans="1:14" x14ac:dyDescent="0.25">
      <c r="A5" s="2">
        <v>4</v>
      </c>
      <c r="B5" s="2" t="s">
        <v>7</v>
      </c>
      <c r="C5" s="2" t="s">
        <v>24</v>
      </c>
      <c r="D5" s="2" t="s">
        <v>23</v>
      </c>
      <c r="E5" s="2">
        <v>2</v>
      </c>
      <c r="F5" s="6" t="str">
        <f>+_xlfn.XLOOKUP(TablaPedidos[[#This Row],[Producto]],TablaProductos[Producto],TablaProductos[Categoría],"No encontrado")</f>
        <v>Tecnología</v>
      </c>
      <c r="G5" s="8">
        <f>+_xlfn.XLOOKUP(TablaPedidos[[#This Row],[Producto]],TablaProductos[Producto],TablaProductos[Precio (S/)], "No coincide")</f>
        <v>650</v>
      </c>
      <c r="H5" s="8">
        <f>+TablaPedidos[[#This Row],[Cantidad]]*TablaPedidos[[#This Row],[Precio]]</f>
        <v>1300</v>
      </c>
      <c r="J5">
        <f>+LEN(TablaPedidos[[#This Row],[Región]])</f>
        <v>4</v>
      </c>
    </row>
    <row r="6" spans="1:14" x14ac:dyDescent="0.25">
      <c r="A6" s="2">
        <v>5</v>
      </c>
      <c r="B6" s="6" t="s">
        <v>11</v>
      </c>
      <c r="C6" s="2" t="s">
        <v>25</v>
      </c>
      <c r="D6" s="2" t="s">
        <v>23</v>
      </c>
      <c r="E6" s="2">
        <v>4</v>
      </c>
      <c r="F6" s="6" t="str">
        <f>+_xlfn.XLOOKUP(TablaPedidos[[#This Row],[Producto]],TablaProductos[Producto],TablaProductos[Categoría],"No encontrado")</f>
        <v>Tecnología</v>
      </c>
      <c r="G6" s="8">
        <f>+_xlfn.XLOOKUP(TablaPedidos[[#This Row],[Producto]],TablaProductos[Producto],TablaProductos[Precio (S/)], "No coincide")</f>
        <v>890</v>
      </c>
      <c r="H6" s="8">
        <f>+TablaPedidos[[#This Row],[Cantidad]]*TablaPedidos[[#This Row],[Precio]]</f>
        <v>3560</v>
      </c>
      <c r="J6">
        <f>+LEN(TablaPedidos[[#This Row],[Región]])</f>
        <v>4</v>
      </c>
    </row>
    <row r="7" spans="1:14" x14ac:dyDescent="0.25">
      <c r="A7" s="2">
        <v>6</v>
      </c>
      <c r="B7" s="2" t="s">
        <v>13</v>
      </c>
      <c r="C7" s="2" t="s">
        <v>21</v>
      </c>
      <c r="D7" s="6" t="s">
        <v>26</v>
      </c>
      <c r="E7" s="2">
        <v>1</v>
      </c>
      <c r="F7" s="6" t="str">
        <f>+_xlfn.XLOOKUP(TablaPedidos[[#This Row],[Producto]],TablaProductos[Producto],TablaProductos[Categoría],"No encontrado")</f>
        <v>Tecnología</v>
      </c>
      <c r="G7" s="8">
        <f>+_xlfn.XLOOKUP(TablaPedidos[[#This Row],[Producto]],TablaProductos[Producto],TablaProductos[Precio (S/)], "No coincide")</f>
        <v>1450</v>
      </c>
      <c r="H7" s="8">
        <f>+TablaPedidos[[#This Row],[Cantidad]]*TablaPedidos[[#This Row],[Precio]]</f>
        <v>1450</v>
      </c>
      <c r="J7">
        <f>+LEN(TablaPedidos[[#This Row],[Región]])</f>
        <v>8</v>
      </c>
    </row>
    <row r="8" spans="1:14" x14ac:dyDescent="0.25">
      <c r="A8" s="2">
        <v>7</v>
      </c>
      <c r="B8" s="6" t="s">
        <v>5</v>
      </c>
      <c r="C8" s="2" t="s">
        <v>24</v>
      </c>
      <c r="D8" s="6" t="s">
        <v>26</v>
      </c>
      <c r="E8" s="2">
        <v>11</v>
      </c>
      <c r="F8" s="6" t="str">
        <f>+_xlfn.XLOOKUP(TablaPedidos[[#This Row],[Producto]],TablaProductos[Producto],TablaProductos[Categoría],"No encontrado")</f>
        <v>Tecnología</v>
      </c>
      <c r="G8" s="8">
        <f>+_xlfn.XLOOKUP(TablaPedidos[[#This Row],[Producto]],TablaProductos[Producto],TablaProductos[Precio (S/)], "No coincide")</f>
        <v>45</v>
      </c>
      <c r="H8" s="8">
        <f>+TablaPedidos[[#This Row],[Cantidad]]*TablaPedidos[[#This Row],[Precio]]</f>
        <v>495</v>
      </c>
      <c r="J8">
        <f>+LEN(TablaPedidos[[#This Row],[Región]])</f>
        <v>8</v>
      </c>
    </row>
    <row r="9" spans="1:14" x14ac:dyDescent="0.25">
      <c r="A9" s="2">
        <v>8</v>
      </c>
      <c r="B9" s="2" t="s">
        <v>3</v>
      </c>
      <c r="C9" s="2" t="s">
        <v>24</v>
      </c>
      <c r="D9" s="6" t="s">
        <v>22</v>
      </c>
      <c r="E9" s="2">
        <v>10</v>
      </c>
      <c r="F9" s="6" t="str">
        <f>+_xlfn.XLOOKUP(TablaPedidos[[#This Row],[Producto]],TablaProductos[Producto],TablaProductos[Categoría],"No encontrado")</f>
        <v>Tecnología</v>
      </c>
      <c r="G9" s="8">
        <f>+_xlfn.XLOOKUP(TablaPedidos[[#This Row],[Producto]],TablaProductos[Producto],TablaProductos[Precio (S/)], "No coincide")</f>
        <v>3200</v>
      </c>
      <c r="H9" s="8">
        <f>+TablaPedidos[[#This Row],[Cantidad]]*TablaPedidos[[#This Row],[Precio]]</f>
        <v>32000</v>
      </c>
      <c r="J9">
        <f>+LEN(TablaPedidos[[#This Row],[Región]])</f>
        <v>5</v>
      </c>
    </row>
    <row r="10" spans="1:14" x14ac:dyDescent="0.25">
      <c r="A10" s="2">
        <v>9</v>
      </c>
      <c r="B10" s="6" t="s">
        <v>3</v>
      </c>
      <c r="C10" s="2" t="s">
        <v>25</v>
      </c>
      <c r="D10" s="2" t="s">
        <v>26</v>
      </c>
      <c r="E10" s="2">
        <v>1</v>
      </c>
      <c r="F10" s="6" t="str">
        <f>+_xlfn.XLOOKUP(TablaPedidos[[#This Row],[Producto]],TablaProductos[Producto],TablaProductos[Categoría],"No encontrado")</f>
        <v>Tecnología</v>
      </c>
      <c r="G10" s="8">
        <f>+_xlfn.XLOOKUP(TablaPedidos[[#This Row],[Producto]],TablaProductos[Producto],TablaProductos[Precio (S/)], "No coincide")</f>
        <v>3200</v>
      </c>
      <c r="H10" s="8">
        <f>+TablaPedidos[[#This Row],[Cantidad]]*TablaPedidos[[#This Row],[Precio]]</f>
        <v>3200</v>
      </c>
      <c r="J10">
        <f>+LEN(TablaPedidos[[#This Row],[Región]])</f>
        <v>8</v>
      </c>
    </row>
    <row r="11" spans="1:14" x14ac:dyDescent="0.25">
      <c r="A11" s="2">
        <v>10</v>
      </c>
      <c r="B11" s="2" t="s">
        <v>6</v>
      </c>
      <c r="C11" s="2" t="s">
        <v>24</v>
      </c>
      <c r="D11" s="6" t="s">
        <v>27</v>
      </c>
      <c r="E11" s="2">
        <v>7</v>
      </c>
      <c r="F11" s="6" t="str">
        <f>+_xlfn.XLOOKUP(TablaPedidos[[#This Row],[Producto]],TablaProductos[Producto],TablaProductos[Categoría],"No encontrado")</f>
        <v>Tecnología</v>
      </c>
      <c r="G11" s="8">
        <f>+_xlfn.XLOOKUP(TablaPedidos[[#This Row],[Producto]],TablaProductos[Producto],TablaProductos[Precio (S/)], "No coincide")</f>
        <v>180</v>
      </c>
      <c r="H11" s="8">
        <f>+TablaPedidos[[#This Row],[Cantidad]]*TablaPedidos[[#This Row],[Precio]]</f>
        <v>1260</v>
      </c>
      <c r="J11">
        <f>+LEN(TablaPedidos[[#This Row],[Región]])</f>
        <v>8</v>
      </c>
      <c r="L11" s="6"/>
    </row>
    <row r="12" spans="1:14" x14ac:dyDescent="0.25">
      <c r="A12" s="2">
        <v>11</v>
      </c>
      <c r="B12" s="2" t="s">
        <v>13</v>
      </c>
      <c r="C12" s="2" t="s">
        <v>28</v>
      </c>
      <c r="D12" s="6" t="s">
        <v>23</v>
      </c>
      <c r="E12" s="2">
        <v>10</v>
      </c>
      <c r="F12" s="6" t="str">
        <f>+_xlfn.XLOOKUP(TablaPedidos[[#This Row],[Producto]],TablaProductos[Producto],TablaProductos[Categoría],"No encontrado")</f>
        <v>Tecnología</v>
      </c>
      <c r="G12" s="8">
        <f>+_xlfn.XLOOKUP(TablaPedidos[[#This Row],[Producto]],TablaProductos[Producto],TablaProductos[Precio (S/)], "No coincide")</f>
        <v>1450</v>
      </c>
      <c r="H12" s="8">
        <f>+TablaPedidos[[#This Row],[Cantidad]]*TablaPedidos[[#This Row],[Precio]]</f>
        <v>14500</v>
      </c>
      <c r="J12">
        <f>+LEN(TablaPedidos[[#This Row],[Región]])</f>
        <v>4</v>
      </c>
    </row>
    <row r="13" spans="1:14" x14ac:dyDescent="0.25">
      <c r="A13" s="2">
        <v>12</v>
      </c>
      <c r="B13" s="2" t="s">
        <v>13</v>
      </c>
      <c r="C13" s="2" t="s">
        <v>19</v>
      </c>
      <c r="D13" s="6" t="s">
        <v>23</v>
      </c>
      <c r="E13" s="2">
        <v>2</v>
      </c>
      <c r="F13" s="6" t="str">
        <f>+_xlfn.XLOOKUP(TablaPedidos[[#This Row],[Producto]],TablaProductos[Producto],TablaProductos[Categoría],"No encontrado")</f>
        <v>Tecnología</v>
      </c>
      <c r="G13" s="8">
        <f>+_xlfn.XLOOKUP(TablaPedidos[[#This Row],[Producto]],TablaProductos[Producto],TablaProductos[Precio (S/)], "No coincide")</f>
        <v>1450</v>
      </c>
      <c r="H13" s="8">
        <f>+TablaPedidos[[#This Row],[Cantidad]]*TablaPedidos[[#This Row],[Precio]]</f>
        <v>2900</v>
      </c>
      <c r="J13">
        <f>+LEN(TablaPedidos[[#This Row],[Región]])</f>
        <v>4</v>
      </c>
    </row>
    <row r="14" spans="1:14" x14ac:dyDescent="0.25">
      <c r="A14" s="2">
        <v>13</v>
      </c>
      <c r="B14" s="2" t="s">
        <v>14</v>
      </c>
      <c r="C14" s="2" t="s">
        <v>24</v>
      </c>
      <c r="D14" s="2" t="s">
        <v>26</v>
      </c>
      <c r="E14" s="2">
        <v>6</v>
      </c>
      <c r="F14" s="6" t="str">
        <f>+_xlfn.XLOOKUP(TablaPedidos[[#This Row],[Producto]],TablaProductos[Producto],TablaProductos[Categoría],"No encontrado")</f>
        <v>Mobiliario</v>
      </c>
      <c r="G14" s="8">
        <f>+_xlfn.XLOOKUP(TablaPedidos[[#This Row],[Producto]],TablaProductos[Producto],TablaProductos[Precio (S/)], "No coincide")</f>
        <v>65</v>
      </c>
      <c r="H14" s="8">
        <f>+TablaPedidos[[#This Row],[Cantidad]]*TablaPedidos[[#This Row],[Precio]]</f>
        <v>390</v>
      </c>
      <c r="J14">
        <f>+LEN(TablaPedidos[[#This Row],[Región]])</f>
        <v>8</v>
      </c>
    </row>
    <row r="15" spans="1:14" x14ac:dyDescent="0.25">
      <c r="A15" s="2">
        <v>14</v>
      </c>
      <c r="B15" s="2" t="s">
        <v>13</v>
      </c>
      <c r="C15" s="2" t="s">
        <v>21</v>
      </c>
      <c r="D15" s="2" t="s">
        <v>23</v>
      </c>
      <c r="E15" s="2">
        <v>10</v>
      </c>
      <c r="F15" s="6" t="str">
        <f>+_xlfn.XLOOKUP(TablaPedidos[[#This Row],[Producto]],TablaProductos[Producto],TablaProductos[Categoría],"No encontrado")</f>
        <v>Tecnología</v>
      </c>
      <c r="G15" s="8">
        <f>+_xlfn.XLOOKUP(TablaPedidos[[#This Row],[Producto]],TablaProductos[Producto],TablaProductos[Precio (S/)], "No coincide")</f>
        <v>1450</v>
      </c>
      <c r="H15" s="8">
        <f>+TablaPedidos[[#This Row],[Cantidad]]*TablaPedidos[[#This Row],[Precio]]</f>
        <v>14500</v>
      </c>
      <c r="J15">
        <f>+LEN(TablaPedidos[[#This Row],[Región]])</f>
        <v>4</v>
      </c>
    </row>
    <row r="16" spans="1:14" x14ac:dyDescent="0.25">
      <c r="A16" s="2">
        <v>15</v>
      </c>
      <c r="B16" s="2" t="s">
        <v>14</v>
      </c>
      <c r="C16" s="2" t="s">
        <v>21</v>
      </c>
      <c r="D16" s="2" t="s">
        <v>26</v>
      </c>
      <c r="E16" s="2">
        <v>8</v>
      </c>
      <c r="F16" s="6" t="str">
        <f>+_xlfn.XLOOKUP(TablaPedidos[[#This Row],[Producto]],TablaProductos[Producto],TablaProductos[Categoría],"No encontrado")</f>
        <v>Mobiliario</v>
      </c>
      <c r="G16" s="8">
        <f>+_xlfn.XLOOKUP(TablaPedidos[[#This Row],[Producto]],TablaProductos[Producto],TablaProductos[Precio (S/)], "No coincide")</f>
        <v>65</v>
      </c>
      <c r="H16" s="8">
        <f>+TablaPedidos[[#This Row],[Cantidad]]*TablaPedidos[[#This Row],[Precio]]</f>
        <v>520</v>
      </c>
      <c r="J16">
        <f>+LEN(TablaPedidos[[#This Row],[Región]])</f>
        <v>8</v>
      </c>
    </row>
    <row r="17" spans="1:10" x14ac:dyDescent="0.25">
      <c r="A17" s="2">
        <v>16</v>
      </c>
      <c r="B17" s="2" t="s">
        <v>11</v>
      </c>
      <c r="C17" s="2" t="s">
        <v>24</v>
      </c>
      <c r="D17" s="6" t="s">
        <v>27</v>
      </c>
      <c r="E17" s="2">
        <v>8</v>
      </c>
      <c r="F17" s="6" t="str">
        <f>+_xlfn.XLOOKUP(TablaPedidos[[#This Row],[Producto]],TablaProductos[Producto],TablaProductos[Categoría],"No encontrado")</f>
        <v>Tecnología</v>
      </c>
      <c r="G17" s="8">
        <f>+_xlfn.XLOOKUP(TablaPedidos[[#This Row],[Producto]],TablaProductos[Producto],TablaProductos[Precio (S/)], "No coincide")</f>
        <v>890</v>
      </c>
      <c r="H17" s="8">
        <f>+TablaPedidos[[#This Row],[Cantidad]]*TablaPedidos[[#This Row],[Precio]]</f>
        <v>7120</v>
      </c>
      <c r="J17">
        <f>+LEN(TablaPedidos[[#This Row],[Región]])</f>
        <v>8</v>
      </c>
    </row>
    <row r="18" spans="1:10" x14ac:dyDescent="0.25">
      <c r="A18" s="2">
        <v>17</v>
      </c>
      <c r="B18" s="2" t="s">
        <v>12</v>
      </c>
      <c r="C18" s="2" t="s">
        <v>24</v>
      </c>
      <c r="D18" s="2" t="s">
        <v>27</v>
      </c>
      <c r="E18" s="2">
        <v>5</v>
      </c>
      <c r="F18" s="6" t="str">
        <f>+_xlfn.XLOOKUP(TablaPedidos[[#This Row],[Producto]],TablaProductos[Producto],TablaProductos[Categoría],"No encontrado")</f>
        <v>Mobiliario</v>
      </c>
      <c r="G18" s="8">
        <f>+_xlfn.XLOOKUP(TablaPedidos[[#This Row],[Producto]],TablaProductos[Producto],TablaProductos[Precio (S/)], "No coincide")</f>
        <v>210</v>
      </c>
      <c r="H18" s="8">
        <f>+TablaPedidos[[#This Row],[Cantidad]]*TablaPedidos[[#This Row],[Precio]]</f>
        <v>1050</v>
      </c>
      <c r="J18">
        <f>+LEN(TablaPedidos[[#This Row],[Región]])</f>
        <v>8</v>
      </c>
    </row>
    <row r="19" spans="1:10" x14ac:dyDescent="0.25">
      <c r="A19" s="2">
        <v>18</v>
      </c>
      <c r="B19" s="6" t="s">
        <v>6</v>
      </c>
      <c r="C19" s="2" t="s">
        <v>28</v>
      </c>
      <c r="D19" s="2" t="s">
        <v>29</v>
      </c>
      <c r="E19" s="2">
        <v>2</v>
      </c>
      <c r="F19" s="6" t="str">
        <f>+_xlfn.XLOOKUP(TablaPedidos[[#This Row],[Producto]],TablaProductos[Producto],TablaProductos[Categoría],"No encontrado")</f>
        <v>Tecnología</v>
      </c>
      <c r="G19" s="8">
        <f>+_xlfn.XLOOKUP(TablaPedidos[[#This Row],[Producto]],TablaProductos[Producto],TablaProductos[Precio (S/)], "No coincide")</f>
        <v>180</v>
      </c>
      <c r="H19" s="8">
        <f>+TablaPedidos[[#This Row],[Cantidad]]*TablaPedidos[[#This Row],[Precio]]</f>
        <v>360</v>
      </c>
      <c r="J19">
        <f>+LEN(TablaPedidos[[#This Row],[Región]])</f>
        <v>5</v>
      </c>
    </row>
    <row r="20" spans="1:10" x14ac:dyDescent="0.25">
      <c r="A20" s="2">
        <v>19</v>
      </c>
      <c r="B20" s="2" t="s">
        <v>8</v>
      </c>
      <c r="C20" s="2" t="s">
        <v>24</v>
      </c>
      <c r="D20" s="2" t="s">
        <v>22</v>
      </c>
      <c r="E20" s="2">
        <v>8</v>
      </c>
      <c r="F20" s="6" t="str">
        <f>+_xlfn.XLOOKUP(TablaPedidos[[#This Row],[Producto]],TablaProductos[Producto],TablaProductos[Categoría],"No encontrado")</f>
        <v>Mobiliario</v>
      </c>
      <c r="G20" s="8">
        <f>+_xlfn.XLOOKUP(TablaPedidos[[#This Row],[Producto]],TablaProductos[Producto],TablaProductos[Precio (S/)], "No coincide")</f>
        <v>480</v>
      </c>
      <c r="H20" s="8">
        <f>+TablaPedidos[[#This Row],[Cantidad]]*TablaPedidos[[#This Row],[Precio]]</f>
        <v>3840</v>
      </c>
      <c r="J20">
        <f>+LEN(TablaPedidos[[#This Row],[Región]])</f>
        <v>5</v>
      </c>
    </row>
    <row r="21" spans="1:10" x14ac:dyDescent="0.25">
      <c r="A21" s="2">
        <v>20</v>
      </c>
      <c r="B21" s="2" t="s">
        <v>12</v>
      </c>
      <c r="C21" s="2" t="s">
        <v>19</v>
      </c>
      <c r="D21" s="6" t="s">
        <v>27</v>
      </c>
      <c r="E21" s="2">
        <v>10</v>
      </c>
      <c r="F21" s="6" t="str">
        <f>+_xlfn.XLOOKUP(TablaPedidos[[#This Row],[Producto]],TablaProductos[Producto],TablaProductos[Categoría],"No encontrado")</f>
        <v>Mobiliario</v>
      </c>
      <c r="G21" s="8">
        <f>+_xlfn.XLOOKUP(TablaPedidos[[#This Row],[Producto]],TablaProductos[Producto],TablaProductos[Precio (S/)], "No coincide")</f>
        <v>210</v>
      </c>
      <c r="H21" s="8">
        <f>+TablaPedidos[[#This Row],[Cantidad]]*TablaPedidos[[#This Row],[Precio]]</f>
        <v>2100</v>
      </c>
      <c r="J21">
        <f>+LEN(TablaPedidos[[#This Row],[Región]])</f>
        <v>8</v>
      </c>
    </row>
    <row r="22" spans="1:10" x14ac:dyDescent="0.25">
      <c r="A22" s="2">
        <v>21</v>
      </c>
      <c r="B22" s="2" t="s">
        <v>5</v>
      </c>
      <c r="C22" s="2" t="s">
        <v>21</v>
      </c>
      <c r="D22" s="6" t="s">
        <v>22</v>
      </c>
      <c r="E22" s="2">
        <v>7</v>
      </c>
      <c r="F22" s="6" t="str">
        <f>+_xlfn.XLOOKUP(TablaPedidos[[#This Row],[Producto]],TablaProductos[Producto],TablaProductos[Categoría],"No encontrado")</f>
        <v>Tecnología</v>
      </c>
      <c r="G22" s="8">
        <f>+_xlfn.XLOOKUP(TablaPedidos[[#This Row],[Producto]],TablaProductos[Producto],TablaProductos[Precio (S/)], "No coincide")</f>
        <v>45</v>
      </c>
      <c r="H22" s="8">
        <f>+TablaPedidos[[#This Row],[Cantidad]]*TablaPedidos[[#This Row],[Precio]]</f>
        <v>315</v>
      </c>
      <c r="J22">
        <f>+LEN(TablaPedidos[[#This Row],[Región]])</f>
        <v>5</v>
      </c>
    </row>
    <row r="23" spans="1:10" x14ac:dyDescent="0.25">
      <c r="A23" s="2">
        <v>22</v>
      </c>
      <c r="B23" s="2" t="s">
        <v>10</v>
      </c>
      <c r="C23" s="2" t="s">
        <v>28</v>
      </c>
      <c r="D23" s="2" t="s">
        <v>26</v>
      </c>
      <c r="E23" s="2">
        <v>15</v>
      </c>
      <c r="F23" s="6" t="str">
        <f>+_xlfn.XLOOKUP(TablaPedidos[[#This Row],[Producto]],TablaProductos[Producto],TablaProductos[Categoría],"No encontrado")</f>
        <v>Mobiliario</v>
      </c>
      <c r="G23" s="8">
        <f>+_xlfn.XLOOKUP(TablaPedidos[[#This Row],[Producto]],TablaProductos[Producto],TablaProductos[Precio (S/)], "No coincide")</f>
        <v>620</v>
      </c>
      <c r="H23" s="8">
        <f>+TablaPedidos[[#This Row],[Cantidad]]*TablaPedidos[[#This Row],[Precio]]</f>
        <v>9300</v>
      </c>
      <c r="J23">
        <f>+LEN(TablaPedidos[[#This Row],[Región]])</f>
        <v>8</v>
      </c>
    </row>
    <row r="24" spans="1:10" x14ac:dyDescent="0.25">
      <c r="A24" s="2">
        <v>23</v>
      </c>
      <c r="B24" s="2" t="s">
        <v>11</v>
      </c>
      <c r="C24" s="2" t="s">
        <v>25</v>
      </c>
      <c r="D24" s="2" t="s">
        <v>23</v>
      </c>
      <c r="E24" s="2">
        <v>11</v>
      </c>
      <c r="F24" s="6" t="str">
        <f>+_xlfn.XLOOKUP(TablaPedidos[[#This Row],[Producto]],TablaProductos[Producto],TablaProductos[Categoría],"No encontrado")</f>
        <v>Tecnología</v>
      </c>
      <c r="G24" s="8">
        <f>+_xlfn.XLOOKUP(TablaPedidos[[#This Row],[Producto]],TablaProductos[Producto],TablaProductos[Precio (S/)], "No coincide")</f>
        <v>890</v>
      </c>
      <c r="H24" s="8">
        <f>+TablaPedidos[[#This Row],[Cantidad]]*TablaPedidos[[#This Row],[Precio]]</f>
        <v>9790</v>
      </c>
      <c r="J24">
        <f>+LEN(TablaPedidos[[#This Row],[Región]])</f>
        <v>4</v>
      </c>
    </row>
    <row r="25" spans="1:10" x14ac:dyDescent="0.25">
      <c r="A25" s="2">
        <v>24</v>
      </c>
      <c r="B25" s="2" t="s">
        <v>13</v>
      </c>
      <c r="C25" s="2" t="s">
        <v>21</v>
      </c>
      <c r="D25" s="6" t="s">
        <v>22</v>
      </c>
      <c r="E25" s="2">
        <v>6</v>
      </c>
      <c r="F25" s="6" t="str">
        <f>+_xlfn.XLOOKUP(TablaPedidos[[#This Row],[Producto]],TablaProductos[Producto],TablaProductos[Categoría],"No encontrado")</f>
        <v>Tecnología</v>
      </c>
      <c r="G25" s="8">
        <f>+_xlfn.XLOOKUP(TablaPedidos[[#This Row],[Producto]],TablaProductos[Producto],TablaProductos[Precio (S/)], "No coincide")</f>
        <v>1450</v>
      </c>
      <c r="H25" s="8">
        <f>+TablaPedidos[[#This Row],[Cantidad]]*TablaPedidos[[#This Row],[Precio]]</f>
        <v>8700</v>
      </c>
      <c r="J25">
        <f>+LEN(TablaPedidos[[#This Row],[Región]])</f>
        <v>5</v>
      </c>
    </row>
    <row r="26" spans="1:10" x14ac:dyDescent="0.25">
      <c r="A26" s="2">
        <v>25</v>
      </c>
      <c r="B26" s="6" t="s">
        <v>14</v>
      </c>
      <c r="C26" s="2" t="s">
        <v>19</v>
      </c>
      <c r="D26" s="2" t="s">
        <v>20</v>
      </c>
      <c r="E26" s="2">
        <v>10</v>
      </c>
      <c r="F26" s="6" t="str">
        <f>+_xlfn.XLOOKUP(TablaPedidos[[#This Row],[Producto]],TablaProductos[Producto],TablaProductos[Categoría],"No encontrado")</f>
        <v>Mobiliario</v>
      </c>
      <c r="G26" s="8">
        <f>+_xlfn.XLOOKUP(TablaPedidos[[#This Row],[Producto]],TablaProductos[Producto],TablaProductos[Precio (S/)], "No coincide")</f>
        <v>65</v>
      </c>
      <c r="H26" s="8">
        <f>+TablaPedidos[[#This Row],[Cantidad]]*TablaPedidos[[#This Row],[Precio]]</f>
        <v>650</v>
      </c>
      <c r="J26">
        <f>+LEN(TablaPedidos[[#This Row],[Región]])</f>
        <v>5</v>
      </c>
    </row>
    <row r="27" spans="1:10" x14ac:dyDescent="0.25">
      <c r="A27" s="2">
        <v>26</v>
      </c>
      <c r="B27" s="6" t="s">
        <v>5</v>
      </c>
      <c r="C27" s="2" t="s">
        <v>25</v>
      </c>
      <c r="D27" s="2" t="s">
        <v>23</v>
      </c>
      <c r="E27" s="2">
        <v>5</v>
      </c>
      <c r="F27" s="6" t="str">
        <f>+_xlfn.XLOOKUP(TablaPedidos[[#This Row],[Producto]],TablaProductos[Producto],TablaProductos[Categoría],"No encontrado")</f>
        <v>Tecnología</v>
      </c>
      <c r="G27" s="8">
        <f>+_xlfn.XLOOKUP(TablaPedidos[[#This Row],[Producto]],TablaProductos[Producto],TablaProductos[Precio (S/)], "No coincide")</f>
        <v>45</v>
      </c>
      <c r="H27" s="8">
        <f>+TablaPedidos[[#This Row],[Cantidad]]*TablaPedidos[[#This Row],[Precio]]</f>
        <v>225</v>
      </c>
      <c r="J27">
        <f>+LEN(TablaPedidos[[#This Row],[Región]])</f>
        <v>4</v>
      </c>
    </row>
    <row r="28" spans="1:10" x14ac:dyDescent="0.25">
      <c r="A28" s="2">
        <v>27</v>
      </c>
      <c r="B28" s="2" t="s">
        <v>5</v>
      </c>
      <c r="C28" s="2" t="s">
        <v>25</v>
      </c>
      <c r="D28" s="2" t="s">
        <v>23</v>
      </c>
      <c r="E28" s="2">
        <v>12</v>
      </c>
      <c r="F28" s="6" t="str">
        <f>+_xlfn.XLOOKUP(TablaPedidos[[#This Row],[Producto]],TablaProductos[Producto],TablaProductos[Categoría],"No encontrado")</f>
        <v>Tecnología</v>
      </c>
      <c r="G28" s="8">
        <f>+_xlfn.XLOOKUP(TablaPedidos[[#This Row],[Producto]],TablaProductos[Producto],TablaProductos[Precio (S/)], "No coincide")</f>
        <v>45</v>
      </c>
      <c r="H28" s="8">
        <f>+TablaPedidos[[#This Row],[Cantidad]]*TablaPedidos[[#This Row],[Precio]]</f>
        <v>540</v>
      </c>
      <c r="J28">
        <f>+LEN(TablaPedidos[[#This Row],[Región]])</f>
        <v>4</v>
      </c>
    </row>
    <row r="29" spans="1:10" x14ac:dyDescent="0.25">
      <c r="A29" s="2">
        <v>28</v>
      </c>
      <c r="B29" s="2" t="s">
        <v>14</v>
      </c>
      <c r="C29" s="2" t="s">
        <v>19</v>
      </c>
      <c r="D29" s="6" t="s">
        <v>20</v>
      </c>
      <c r="E29" s="2">
        <v>5</v>
      </c>
      <c r="F29" s="6" t="str">
        <f>+_xlfn.XLOOKUP(TablaPedidos[[#This Row],[Producto]],TablaProductos[Producto],TablaProductos[Categoría],"No encontrado")</f>
        <v>Mobiliario</v>
      </c>
      <c r="G29" s="8">
        <f>+_xlfn.XLOOKUP(TablaPedidos[[#This Row],[Producto]],TablaProductos[Producto],TablaProductos[Precio (S/)], "No coincide")</f>
        <v>65</v>
      </c>
      <c r="H29" s="8">
        <f>+TablaPedidos[[#This Row],[Cantidad]]*TablaPedidos[[#This Row],[Precio]]</f>
        <v>325</v>
      </c>
      <c r="J29">
        <f>+LEN(TablaPedidos[[#This Row],[Región]])</f>
        <v>5</v>
      </c>
    </row>
    <row r="30" spans="1:10" x14ac:dyDescent="0.25">
      <c r="A30" s="2">
        <v>29</v>
      </c>
      <c r="B30" s="2" t="s">
        <v>10</v>
      </c>
      <c r="C30" s="2" t="s">
        <v>25</v>
      </c>
      <c r="D30" s="6" t="s">
        <v>23</v>
      </c>
      <c r="E30" s="2">
        <v>8</v>
      </c>
      <c r="F30" s="6" t="str">
        <f>+_xlfn.XLOOKUP(TablaPedidos[[#This Row],[Producto]],TablaProductos[Producto],TablaProductos[Categoría],"No encontrado")</f>
        <v>Mobiliario</v>
      </c>
      <c r="G30" s="8">
        <f>+_xlfn.XLOOKUP(TablaPedidos[[#This Row],[Producto]],TablaProductos[Producto],TablaProductos[Precio (S/)], "No coincide")</f>
        <v>620</v>
      </c>
      <c r="H30" s="8">
        <f>+TablaPedidos[[#This Row],[Cantidad]]*TablaPedidos[[#This Row],[Precio]]</f>
        <v>4960</v>
      </c>
      <c r="J30">
        <f>+LEN(TablaPedidos[[#This Row],[Región]])</f>
        <v>4</v>
      </c>
    </row>
    <row r="31" spans="1:10" x14ac:dyDescent="0.25">
      <c r="A31" s="2">
        <v>30</v>
      </c>
      <c r="B31" s="2" t="s">
        <v>6</v>
      </c>
      <c r="C31" s="2" t="s">
        <v>19</v>
      </c>
      <c r="D31" s="6" t="s">
        <v>23</v>
      </c>
      <c r="E31" s="2">
        <v>8</v>
      </c>
      <c r="F31" s="6" t="str">
        <f>+_xlfn.XLOOKUP(TablaPedidos[[#This Row],[Producto]],TablaProductos[Producto],TablaProductos[Categoría],"No encontrado")</f>
        <v>Tecnología</v>
      </c>
      <c r="G31" s="8">
        <f>+_xlfn.XLOOKUP(TablaPedidos[[#This Row],[Producto]],TablaProductos[Producto],TablaProductos[Precio (S/)], "No coincide")</f>
        <v>180</v>
      </c>
      <c r="H31" s="8">
        <f>+TablaPedidos[[#This Row],[Cantidad]]*TablaPedidos[[#This Row],[Precio]]</f>
        <v>1440</v>
      </c>
      <c r="J31">
        <f>+LEN(TablaPedidos[[#This Row],[Región]])</f>
        <v>4</v>
      </c>
    </row>
  </sheetData>
  <dataValidations count="1">
    <dataValidation type="list" allowBlank="1" showInputMessage="1" showErrorMessage="1" sqref="D1:D31" xr:uid="{704C4F8C-DE1C-465C-BE2D-FB7C2426EB34}">
      <mc:AlternateContent xmlns:x12ac="http://schemas.microsoft.com/office/spreadsheetml/2011/1/ac" xmlns:mc="http://schemas.openxmlformats.org/markup-compatibility/2006">
        <mc:Choice Requires="x12ac">
          <x12ac:list>"Lima, Cusco, Piura, Arequipa, Trujillo"</x12ac:list>
        </mc:Choice>
        <mc:Fallback>
          <formula1>"Lima, Cusco, Piura, Arequipa, Trujillo"</formula1>
        </mc:Fallback>
      </mc:AlternateContent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8B35-2D4C-4569-86BB-0CA2A8681C16}">
  <sheetPr codeName="Hoja4"/>
  <dimension ref="A1:B7"/>
  <sheetViews>
    <sheetView tabSelected="1" workbookViewId="0">
      <selection activeCell="B3" sqref="B3"/>
    </sheetView>
  </sheetViews>
  <sheetFormatPr baseColWidth="10" defaultRowHeight="15" x14ac:dyDescent="0.25"/>
  <cols>
    <col min="1" max="1" width="51" bestFit="1" customWidth="1"/>
    <col min="2" max="2" width="6" customWidth="1"/>
  </cols>
  <sheetData>
    <row r="1" spans="1:2" x14ac:dyDescent="0.25">
      <c r="A1" t="s">
        <v>55</v>
      </c>
    </row>
    <row r="3" spans="1:2" x14ac:dyDescent="0.25">
      <c r="A3" t="s">
        <v>28</v>
      </c>
      <c r="B3" s="9">
        <f>+SUMIFS(TablaPedidos[Total],TablaPedidos[Vendedor], "Ana Quispe", TablaPedidos[Región], "Lima")</f>
        <v>14500</v>
      </c>
    </row>
    <row r="4" spans="1:2" x14ac:dyDescent="0.25">
      <c r="A4" t="s">
        <v>21</v>
      </c>
    </row>
    <row r="5" spans="1:2" x14ac:dyDescent="0.25">
      <c r="A5" t="s">
        <v>57</v>
      </c>
    </row>
    <row r="6" spans="1:2" x14ac:dyDescent="0.25">
      <c r="A6" t="s">
        <v>24</v>
      </c>
    </row>
    <row r="7" spans="1:2" x14ac:dyDescent="0.25">
      <c r="A7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B31"/>
  <sheetViews>
    <sheetView topLeftCell="A7" workbookViewId="0">
      <selection activeCell="A27" sqref="A27"/>
    </sheetView>
  </sheetViews>
  <sheetFormatPr baseColWidth="10" defaultColWidth="9.140625" defaultRowHeight="15" x14ac:dyDescent="0.25"/>
  <cols>
    <col min="1" max="1" width="115" customWidth="1"/>
  </cols>
  <sheetData>
    <row r="1" spans="1:2" ht="16.5" x14ac:dyDescent="0.25">
      <c r="A1" s="3" t="s">
        <v>30</v>
      </c>
    </row>
    <row r="2" spans="1:2" x14ac:dyDescent="0.25">
      <c r="A2" s="4"/>
    </row>
    <row r="3" spans="1:2" x14ac:dyDescent="0.25">
      <c r="A3" s="4" t="s">
        <v>31</v>
      </c>
    </row>
    <row r="4" spans="1:2" x14ac:dyDescent="0.25">
      <c r="A4" s="4" t="s">
        <v>32</v>
      </c>
    </row>
    <row r="5" spans="1:2" x14ac:dyDescent="0.25">
      <c r="A5" s="4"/>
    </row>
    <row r="6" spans="1:2" x14ac:dyDescent="0.25">
      <c r="A6" s="4" t="s">
        <v>33</v>
      </c>
    </row>
    <row r="7" spans="1:2" x14ac:dyDescent="0.25">
      <c r="A7" s="4" t="s">
        <v>34</v>
      </c>
    </row>
    <row r="8" spans="1:2" x14ac:dyDescent="0.25">
      <c r="A8" s="4"/>
    </row>
    <row r="9" spans="1:2" x14ac:dyDescent="0.25">
      <c r="A9" s="4" t="s">
        <v>35</v>
      </c>
    </row>
    <row r="10" spans="1:2" x14ac:dyDescent="0.25">
      <c r="A10" s="6" t="s">
        <v>36</v>
      </c>
    </row>
    <row r="11" spans="1:2" x14ac:dyDescent="0.25">
      <c r="A11" s="4"/>
    </row>
    <row r="12" spans="1:2" x14ac:dyDescent="0.25">
      <c r="A12" s="4" t="s">
        <v>37</v>
      </c>
    </row>
    <row r="13" spans="1:2" x14ac:dyDescent="0.25">
      <c r="A13" s="4" t="s">
        <v>38</v>
      </c>
      <c r="B13" t="s">
        <v>56</v>
      </c>
    </row>
    <row r="14" spans="1:2" x14ac:dyDescent="0.25">
      <c r="A14" s="4" t="s">
        <v>39</v>
      </c>
    </row>
    <row r="15" spans="1:2" x14ac:dyDescent="0.25">
      <c r="A15" s="4"/>
    </row>
    <row r="16" spans="1:2" x14ac:dyDescent="0.25">
      <c r="A16" s="4" t="s">
        <v>40</v>
      </c>
    </row>
    <row r="17" spans="1:1" x14ac:dyDescent="0.25">
      <c r="A17" s="4"/>
    </row>
    <row r="18" spans="1:1" x14ac:dyDescent="0.25">
      <c r="A18" s="4" t="s">
        <v>41</v>
      </c>
    </row>
    <row r="19" spans="1:1" x14ac:dyDescent="0.25">
      <c r="A19" s="4" t="s">
        <v>42</v>
      </c>
    </row>
    <row r="20" spans="1:1" x14ac:dyDescent="0.25">
      <c r="A20" s="4" t="s">
        <v>43</v>
      </c>
    </row>
    <row r="21" spans="1:1" x14ac:dyDescent="0.25">
      <c r="A21" s="4" t="s">
        <v>44</v>
      </c>
    </row>
    <row r="22" spans="1:1" x14ac:dyDescent="0.25">
      <c r="A22" s="4"/>
    </row>
    <row r="23" spans="1:1" x14ac:dyDescent="0.25">
      <c r="A23" s="4" t="s">
        <v>45</v>
      </c>
    </row>
    <row r="24" spans="1:1" x14ac:dyDescent="0.25">
      <c r="A24" s="4" t="s">
        <v>46</v>
      </c>
    </row>
    <row r="25" spans="1:1" x14ac:dyDescent="0.25">
      <c r="A25" s="4"/>
    </row>
    <row r="26" spans="1:1" x14ac:dyDescent="0.25">
      <c r="A26" s="4" t="s">
        <v>47</v>
      </c>
    </row>
    <row r="27" spans="1:1" x14ac:dyDescent="0.25">
      <c r="A27" s="4" t="s">
        <v>48</v>
      </c>
    </row>
    <row r="28" spans="1:1" x14ac:dyDescent="0.25">
      <c r="A28" s="4" t="s">
        <v>49</v>
      </c>
    </row>
    <row r="29" spans="1:1" x14ac:dyDescent="0.25">
      <c r="A29" s="4"/>
    </row>
    <row r="30" spans="1:1" x14ac:dyDescent="0.25">
      <c r="A30" s="4" t="s">
        <v>50</v>
      </c>
    </row>
    <row r="31" spans="1:1" x14ac:dyDescent="0.25">
      <c r="A31" s="4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Productos</vt:lpstr>
      <vt:lpstr>Pedidos</vt:lpstr>
      <vt:lpstr>Resumen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andymaytaquintana@hotmail.com</cp:lastModifiedBy>
  <dcterms:created xsi:type="dcterms:W3CDTF">2026-07-19T23:38:15Z</dcterms:created>
  <dcterms:modified xsi:type="dcterms:W3CDTF">2026-07-22T02:37:16Z</dcterms:modified>
</cp:coreProperties>
</file>