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11040"/>
  </bookViews>
  <sheets>
    <sheet name="Datos_RRHH" sheetId="1" r:id="rId1"/>
    <sheet name="Instrucciones" sheetId="2" r:id="rId2"/>
  </sheets>
  <calcPr calcId="162913"/>
</workbook>
</file>

<file path=xl/calcChain.xml><?xml version="1.0" encoding="utf-8"?>
<calcChain xmlns="http://schemas.openxmlformats.org/spreadsheetml/2006/main">
  <c r="C31" i="1" l="1"/>
  <c r="E26" i="1"/>
  <c r="D26" i="1"/>
  <c r="E20" i="1"/>
  <c r="D20" i="1"/>
  <c r="J5" i="1"/>
  <c r="J4" i="1"/>
  <c r="B19" i="1"/>
  <c r="F2" i="1" s="1"/>
  <c r="G2" i="1" s="1"/>
  <c r="F9" i="1" l="1"/>
  <c r="G9" i="1" s="1"/>
  <c r="F16" i="1"/>
  <c r="G16" i="1" s="1"/>
  <c r="F12" i="1"/>
  <c r="G12" i="1" s="1"/>
  <c r="F8" i="1"/>
  <c r="G8" i="1" s="1"/>
  <c r="F4" i="1"/>
  <c r="G4" i="1" s="1"/>
  <c r="F13" i="1"/>
  <c r="G13" i="1" s="1"/>
  <c r="F5" i="1"/>
  <c r="G5" i="1" s="1"/>
  <c r="F15" i="1"/>
  <c r="G15" i="1" s="1"/>
  <c r="F11" i="1"/>
  <c r="G11" i="1" s="1"/>
  <c r="F7" i="1"/>
  <c r="G7" i="1" s="1"/>
  <c r="F3" i="1"/>
  <c r="G3" i="1" s="1"/>
  <c r="F14" i="1"/>
  <c r="G14" i="1" s="1"/>
  <c r="F10" i="1"/>
  <c r="G10" i="1" s="1"/>
  <c r="F6" i="1"/>
  <c r="G6" i="1" l="1"/>
  <c r="J6" i="1"/>
  <c r="L6" i="1" s="1"/>
  <c r="F17" i="1"/>
</calcChain>
</file>

<file path=xl/sharedStrings.xml><?xml version="1.0" encoding="utf-8"?>
<sst xmlns="http://schemas.openxmlformats.org/spreadsheetml/2006/main" count="53" uniqueCount="42">
  <si>
    <t>ID</t>
  </si>
  <si>
    <t>Nombre</t>
  </si>
  <si>
    <t>Área</t>
  </si>
  <si>
    <t>Fecha de Ingreso</t>
  </si>
  <si>
    <t>Maria Fernandez</t>
  </si>
  <si>
    <t>Comercial</t>
  </si>
  <si>
    <t>Jose Ramirez</t>
  </si>
  <si>
    <t>Finanzas</t>
  </si>
  <si>
    <t>Andrea Solis</t>
  </si>
  <si>
    <t>Marketing</t>
  </si>
  <si>
    <t>Carlos Vega</t>
  </si>
  <si>
    <t>Lucia Torres</t>
  </si>
  <si>
    <t>Operaciones</t>
  </si>
  <si>
    <t>Diego Morales</t>
  </si>
  <si>
    <t>Paola Chavez</t>
  </si>
  <si>
    <t>Ricardo Nunez</t>
  </si>
  <si>
    <t>Fiorella Castro</t>
  </si>
  <si>
    <t>Manuel Rojas</t>
  </si>
  <si>
    <t>Valeria Guzman</t>
  </si>
  <si>
    <t>Esteban Flores</t>
  </si>
  <si>
    <t>Camila Herrera</t>
  </si>
  <si>
    <t>Bruno Salazar</t>
  </si>
  <si>
    <t>Natalia Quispe</t>
  </si>
  <si>
    <t>Ejercicio Fase 1 - Fundamentos para Data (RRHH)</t>
  </si>
  <si>
    <t>Contexto: Eres analista junior y RRHH te paso esta base para calcular la antiguedad de cada empleado.</t>
  </si>
  <si>
    <t>Tareas:</t>
  </si>
  <si>
    <t>1. Ve a la hoja 'Datos_RRHH'. Selecciona el rango y conviertelo en Tabla con Ctrl+T. Nombrala 'tblEmpleados' (Diseno de tabla &gt; Nombre de tabla).</t>
  </si>
  <si>
    <t>2. Detecta las columnas mal formateadas:</t>
  </si>
  <si>
    <t xml:space="preserve">   - 'Fecha de Ingreso' esta guardada como TEXTO, no como fecha real (por eso se alinea a la izquierda).</t>
  </si>
  <si>
    <t xml:space="preserve">   - 'Sueldo (S/)' tiene varias celdas con espacios en blanco antes o despues del numero, lo que las convierte en texto.</t>
  </si>
  <si>
    <t>3. Corrige el formato:</t>
  </si>
  <si>
    <t xml:space="preserve">   - Para las fechas: selecciona la columna &gt; Datos &gt; Texto en columnas &gt; Finalizar (esto fuerza a Excel a reconocerlas como fecha real).</t>
  </si>
  <si>
    <t xml:space="preserve">   - Para los sueldos: usa la misma tecnica, o la formula =VALOR(ESPACIOS(celda)) en una columna auxiliar (ESPACIOS quita los espacios).</t>
  </si>
  <si>
    <t>4. Una vez corregidas las fechas, crea una columna nueva 'Antiguedad (anios)' con una formula que reste la fecha de ingreso a la fecha de hoy, usando F4 para fijar la referencia si usas una celda con =HOY().</t>
  </si>
  <si>
    <t xml:space="preserve">   Ejemplo: =(HOY()-[@[Fecha de Ingreso]])/365</t>
  </si>
  <si>
    <t>5. Verifica: al final, la columna de Sueldo debe poder sumarse con Alt+= sin dar 0, y la columna de fechas debe alinearse a la derecha.</t>
  </si>
  <si>
    <t>Bonus: usa Ctrl+Shift+4 para dar formato moneda a la columna de sueldo una vez corregida.</t>
  </si>
  <si>
    <t>Sueldo (s/)</t>
  </si>
  <si>
    <t>Antigüedad (años)</t>
  </si>
  <si>
    <t>FECHA ACTUAL:</t>
  </si>
  <si>
    <t>COMPROBANDO EL TIPO DE DATO, FUNCIÓN : TIPO(A1)</t>
  </si>
  <si>
    <t>Bonoficacion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</si>
</sst>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S/&quot;\ #,##0.00;[Red]\-&quot;S/&quot;\ #,##0.0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3"/>
      <name val="Arial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14" fontId="0" fillId="0" borderId="0" xfId="0" applyNumberFormat="1"/>
    <xf numFmtId="0" fontId="2" fillId="0" borderId="0" xfId="0" applyNumberFormat="1" applyFont="1"/>
    <xf numFmtId="8" fontId="2" fillId="0" borderId="0" xfId="0" applyNumberFormat="1" applyFont="1"/>
    <xf numFmtId="0" fontId="6" fillId="0" borderId="0" xfId="0" applyFont="1"/>
    <xf numFmtId="0" fontId="5" fillId="2" borderId="0" xfId="0" applyFont="1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9E1F2"/>
          <bgColor rgb="FFD9E1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292042</xdr:colOff>
      <xdr:row>7</xdr:row>
      <xdr:rowOff>38099</xdr:rowOff>
    </xdr:from>
    <xdr:to>
      <xdr:col>14</xdr:col>
      <xdr:colOff>286780</xdr:colOff>
      <xdr:row>24</xdr:row>
      <xdr:rowOff>9524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7242" y="1371599"/>
          <a:ext cx="4623888" cy="3209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Empleados" displayName="tblEmpleados" ref="A1:G17" totalsRowCount="1" headerRowDxfId="15" dataDxfId="14">
  <tableColumns count="7">
    <tableColumn id="1" name="ID" dataDxfId="13" totalsRowDxfId="12"/>
    <tableColumn id="2" name="Nombre" dataDxfId="11" totalsRowDxfId="10"/>
    <tableColumn id="3" name="Área" dataDxfId="9" totalsRowDxfId="8"/>
    <tableColumn id="4" name="Fecha de Ingreso" dataDxfId="7" totalsRowDxfId="6"/>
    <tableColumn id="5" name="Sueldo (s/)" dataDxfId="5" totalsRowDxfId="4"/>
    <tableColumn id="8" name="Antigüedad (años)" totalsRowFunction="custom" dataDxfId="3" totalsRowDxfId="2">
      <calculatedColumnFormula>+($B$19-tblEmpleados[[#This Row],[Fecha de Ingreso]])/365</calculatedColumnFormula>
      <totalsRowFormula>SUM(F2:F16)</totalsRowFormula>
    </tableColumn>
    <tableColumn id="9" name="Bonoficacion" dataDxfId="1" totalsRowDxfId="0">
      <calculatedColumnFormula>+tblEmpleados[[#This Row],[Sueldo (s/)]]*tblEmpleados[[#This Row],[Antigüedad (años)]]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1" max="1" width="6" customWidth="1"/>
    <col min="2" max="2" width="20" customWidth="1"/>
    <col min="3" max="3" width="14" customWidth="1"/>
    <col min="4" max="4" width="20.7109375" customWidth="1"/>
    <col min="5" max="5" width="20.5703125" customWidth="1"/>
    <col min="6" max="6" width="19.28515625" customWidth="1"/>
    <col min="8" max="8" width="11.85546875" bestFit="1" customWidth="1"/>
    <col min="10" max="10" width="11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0" t="s">
        <v>41</v>
      </c>
    </row>
    <row r="2" spans="1:12" x14ac:dyDescent="0.25">
      <c r="A2" s="2">
        <v>1</v>
      </c>
      <c r="B2" s="2" t="s">
        <v>4</v>
      </c>
      <c r="C2" s="2" t="s">
        <v>5</v>
      </c>
      <c r="D2" s="5">
        <v>43905</v>
      </c>
      <c r="E2" s="8">
        <v>2800</v>
      </c>
      <c r="F2" s="2">
        <f ca="1">+($B$19-tblEmpleados[[#This Row],[Fecha de Ingreso]])/365</f>
        <v>6.3369863013698629</v>
      </c>
      <c r="G2" s="9">
        <f ca="1">+tblEmpleados[[#This Row],[Sueldo (s/)]]*tblEmpleados[[#This Row],[Antigüedad (años)]]</f>
        <v>17743.561643835616</v>
      </c>
    </row>
    <row r="3" spans="1:12" x14ac:dyDescent="0.25">
      <c r="A3" s="2">
        <v>2</v>
      </c>
      <c r="B3" s="2" t="s">
        <v>6</v>
      </c>
      <c r="C3" s="2" t="s">
        <v>7</v>
      </c>
      <c r="D3" s="5">
        <v>43647</v>
      </c>
      <c r="E3" s="8">
        <v>3200</v>
      </c>
      <c r="F3" s="2">
        <f ca="1">+($B$19-tblEmpleados[[#This Row],[Fecha de Ingreso]])/365</f>
        <v>7.043835616438356</v>
      </c>
      <c r="G3" s="9">
        <f ca="1">+tblEmpleados[[#This Row],[Sueldo (s/)]]*tblEmpleados[[#This Row],[Antigüedad (años)]]</f>
        <v>22540.273972602739</v>
      </c>
      <c r="J3" t="s">
        <v>40</v>
      </c>
    </row>
    <row r="4" spans="1:12" x14ac:dyDescent="0.25">
      <c r="A4" s="2">
        <v>3</v>
      </c>
      <c r="B4" s="2" t="s">
        <v>8</v>
      </c>
      <c r="C4" s="2" t="s">
        <v>9</v>
      </c>
      <c r="D4" s="5">
        <v>44522</v>
      </c>
      <c r="E4" s="8">
        <v>2450</v>
      </c>
      <c r="F4" s="2">
        <f ca="1">+($B$19-tblEmpleados[[#This Row],[Fecha de Ingreso]])/365</f>
        <v>4.646575342465753</v>
      </c>
      <c r="G4" s="9">
        <f ca="1">+tblEmpleados[[#This Row],[Sueldo (s/)]]*tblEmpleados[[#This Row],[Antigüedad (años)]]</f>
        <v>11384.109589041094</v>
      </c>
      <c r="J4">
        <f>+TYPE(tblEmpleados[[#This Row],[Fecha de Ingreso]])</f>
        <v>1</v>
      </c>
    </row>
    <row r="5" spans="1:12" x14ac:dyDescent="0.25">
      <c r="A5" s="2">
        <v>4</v>
      </c>
      <c r="B5" s="2" t="s">
        <v>10</v>
      </c>
      <c r="C5" s="2" t="s">
        <v>5</v>
      </c>
      <c r="D5" s="5">
        <v>43105</v>
      </c>
      <c r="E5" s="8">
        <v>4100</v>
      </c>
      <c r="F5" s="2">
        <f ca="1">+($B$19-tblEmpleados[[#This Row],[Fecha de Ingreso]])/365</f>
        <v>8.5287671232876718</v>
      </c>
      <c r="G5" s="9">
        <f ca="1">+tblEmpleados[[#This Row],[Sueldo (s/)]]*tblEmpleados[[#This Row],[Antigüedad (años)]]</f>
        <v>34967.945205479453</v>
      </c>
      <c r="J5">
        <f>+TYPE(C2)</f>
        <v>2</v>
      </c>
    </row>
    <row r="6" spans="1:12" x14ac:dyDescent="0.25">
      <c r="A6" s="2">
        <v>5</v>
      </c>
      <c r="B6" s="2" t="s">
        <v>11</v>
      </c>
      <c r="C6" s="2" t="s">
        <v>12</v>
      </c>
      <c r="D6" s="5">
        <v>44834</v>
      </c>
      <c r="E6" s="8">
        <v>2200</v>
      </c>
      <c r="F6" s="2">
        <f ca="1">+($B$19-tblEmpleados[[#This Row],[Fecha de Ingreso]])/365</f>
        <v>3.7917808219178082</v>
      </c>
      <c r="G6" s="9">
        <f ca="1">+tblEmpleados[[#This Row],[Sueldo (s/)]]*tblEmpleados[[#This Row],[Antigüedad (años)]]</f>
        <v>8341.9178082191775</v>
      </c>
      <c r="J6" t="b">
        <f ca="1">+ISNUMBER(tblEmpleados[[#This Row],[Antigüedad (años)]])</f>
        <v>1</v>
      </c>
      <c r="L6">
        <f ca="1">+TYPE(J6)</f>
        <v>4</v>
      </c>
    </row>
    <row r="7" spans="1:12" x14ac:dyDescent="0.25">
      <c r="A7" s="2">
        <v>6</v>
      </c>
      <c r="B7" s="2" t="s">
        <v>13</v>
      </c>
      <c r="C7" s="2" t="s">
        <v>7</v>
      </c>
      <c r="D7" s="5">
        <v>43933</v>
      </c>
      <c r="E7" s="8">
        <v>3500</v>
      </c>
      <c r="F7" s="2">
        <f ca="1">+($B$19-tblEmpleados[[#This Row],[Fecha de Ingreso]])/365</f>
        <v>6.2602739726027394</v>
      </c>
      <c r="G7" s="9">
        <f ca="1">+tblEmpleados[[#This Row],[Sueldo (s/)]]*tblEmpleados[[#This Row],[Antigüedad (años)]]</f>
        <v>21910.95890410959</v>
      </c>
    </row>
    <row r="8" spans="1:12" x14ac:dyDescent="0.25">
      <c r="A8" s="2">
        <v>7</v>
      </c>
      <c r="B8" s="2" t="s">
        <v>14</v>
      </c>
      <c r="C8" s="2" t="s">
        <v>9</v>
      </c>
      <c r="D8" s="5">
        <v>42904</v>
      </c>
      <c r="E8" s="8">
        <v>2900</v>
      </c>
      <c r="F8" s="2">
        <f ca="1">+($B$19-tblEmpleados[[#This Row],[Fecha de Ingreso]])/365</f>
        <v>9.0794520547945208</v>
      </c>
      <c r="G8" s="9">
        <f ca="1">+tblEmpleados[[#This Row],[Sueldo (s/)]]*tblEmpleados[[#This Row],[Antigüedad (años)]]</f>
        <v>26330.410958904111</v>
      </c>
    </row>
    <row r="9" spans="1:12" x14ac:dyDescent="0.25">
      <c r="A9" s="2">
        <v>8</v>
      </c>
      <c r="B9" s="2" t="s">
        <v>15</v>
      </c>
      <c r="C9" s="2" t="s">
        <v>5</v>
      </c>
      <c r="D9" s="5">
        <v>44966</v>
      </c>
      <c r="E9" s="8">
        <v>2100</v>
      </c>
      <c r="F9" s="2">
        <f ca="1">+($B$19-tblEmpleados[[#This Row],[Fecha de Ingreso]])/365</f>
        <v>3.43013698630137</v>
      </c>
      <c r="G9" s="9">
        <f ca="1">+tblEmpleados[[#This Row],[Sueldo (s/)]]*tblEmpleados[[#This Row],[Antigüedad (años)]]</f>
        <v>7203.2876712328771</v>
      </c>
    </row>
    <row r="10" spans="1:12" x14ac:dyDescent="0.25">
      <c r="A10" s="2">
        <v>9</v>
      </c>
      <c r="B10" s="2" t="s">
        <v>16</v>
      </c>
      <c r="C10" s="2" t="s">
        <v>12</v>
      </c>
      <c r="D10" s="5">
        <v>43704</v>
      </c>
      <c r="E10" s="8">
        <v>3800</v>
      </c>
      <c r="F10" s="2">
        <f ca="1">+($B$19-tblEmpleados[[#This Row],[Fecha de Ingreso]])/365</f>
        <v>6.8876712328767127</v>
      </c>
      <c r="G10" s="9">
        <f ca="1">+tblEmpleados[[#This Row],[Sueldo (s/)]]*tblEmpleados[[#This Row],[Antigüedad (años)]]</f>
        <v>26173.150684931508</v>
      </c>
    </row>
    <row r="11" spans="1:12" x14ac:dyDescent="0.25">
      <c r="A11" s="2">
        <v>10</v>
      </c>
      <c r="B11" s="2" t="s">
        <v>17</v>
      </c>
      <c r="C11" s="2" t="s">
        <v>7</v>
      </c>
      <c r="D11" s="5">
        <v>44544</v>
      </c>
      <c r="E11" s="8">
        <v>2650</v>
      </c>
      <c r="F11" s="2">
        <f ca="1">+($B$19-tblEmpleados[[#This Row],[Fecha de Ingreso]])/365</f>
        <v>4.5863013698630137</v>
      </c>
      <c r="G11" s="9">
        <f ca="1">+tblEmpleados[[#This Row],[Sueldo (s/)]]*tblEmpleados[[#This Row],[Antigüedad (años)]]</f>
        <v>12153.698630136987</v>
      </c>
    </row>
    <row r="12" spans="1:12" x14ac:dyDescent="0.25">
      <c r="A12" s="2">
        <v>11</v>
      </c>
      <c r="B12" s="2" t="s">
        <v>18</v>
      </c>
      <c r="C12" s="2" t="s">
        <v>9</v>
      </c>
      <c r="D12" s="5">
        <v>43223</v>
      </c>
      <c r="E12" s="8">
        <v>3050</v>
      </c>
      <c r="F12" s="2">
        <f ca="1">+($B$19-tblEmpleados[[#This Row],[Fecha de Ingreso]])/365</f>
        <v>8.205479452054794</v>
      </c>
      <c r="G12" s="9">
        <f ca="1">+tblEmpleados[[#This Row],[Sueldo (s/)]]*tblEmpleados[[#This Row],[Antigüedad (años)]]</f>
        <v>25026.71232876712</v>
      </c>
    </row>
    <row r="13" spans="1:12" x14ac:dyDescent="0.25">
      <c r="A13" s="2">
        <v>12</v>
      </c>
      <c r="B13" s="2" t="s">
        <v>19</v>
      </c>
      <c r="C13" s="2" t="s">
        <v>5</v>
      </c>
      <c r="D13" s="5">
        <v>44123</v>
      </c>
      <c r="E13" s="8">
        <v>2400</v>
      </c>
      <c r="F13" s="2">
        <f ca="1">+($B$19-tblEmpleados[[#This Row],[Fecha de Ingreso]])/365</f>
        <v>5.7397260273972606</v>
      </c>
      <c r="G13" s="9">
        <f ca="1">+tblEmpleados[[#This Row],[Sueldo (s/)]]*tblEmpleados[[#This Row],[Antigüedad (años)]]</f>
        <v>13775.342465753425</v>
      </c>
    </row>
    <row r="14" spans="1:12" x14ac:dyDescent="0.25">
      <c r="A14" s="2">
        <v>13</v>
      </c>
      <c r="B14" s="2" t="s">
        <v>20</v>
      </c>
      <c r="C14" s="2" t="s">
        <v>12</v>
      </c>
      <c r="D14" s="5">
        <v>44586</v>
      </c>
      <c r="E14" s="8">
        <v>2750</v>
      </c>
      <c r="F14" s="2">
        <f ca="1">+($B$19-tblEmpleados[[#This Row],[Fecha de Ingreso]])/365</f>
        <v>4.4712328767123291</v>
      </c>
      <c r="G14" s="9">
        <f ca="1">+tblEmpleados[[#This Row],[Sueldo (s/)]]*tblEmpleados[[#This Row],[Antigüedad (años)]]</f>
        <v>12295.890410958906</v>
      </c>
    </row>
    <row r="15" spans="1:12" x14ac:dyDescent="0.25">
      <c r="A15" s="2">
        <v>14</v>
      </c>
      <c r="B15" s="2" t="s">
        <v>21</v>
      </c>
      <c r="C15" s="2" t="s">
        <v>7</v>
      </c>
      <c r="D15" s="5">
        <v>43532</v>
      </c>
      <c r="E15" s="8">
        <v>4300</v>
      </c>
      <c r="F15" s="2">
        <f ca="1">+($B$19-tblEmpleados[[#This Row],[Fecha de Ingreso]])/365</f>
        <v>7.3589041095890408</v>
      </c>
      <c r="G15" s="9">
        <f ca="1">+tblEmpleados[[#This Row],[Sueldo (s/)]]*tblEmpleados[[#This Row],[Antigüedad (años)]]</f>
        <v>31643.287671232876</v>
      </c>
    </row>
    <row r="16" spans="1:12" x14ac:dyDescent="0.25">
      <c r="A16" s="2">
        <v>15</v>
      </c>
      <c r="B16" s="2" t="s">
        <v>22</v>
      </c>
      <c r="C16" s="2" t="s">
        <v>9</v>
      </c>
      <c r="D16" s="5">
        <v>45123</v>
      </c>
      <c r="E16" s="8">
        <v>2300</v>
      </c>
      <c r="F16" s="2">
        <f ca="1">+($B$19-tblEmpleados[[#This Row],[Fecha de Ingreso]])/365</f>
        <v>3</v>
      </c>
      <c r="G16" s="9">
        <f ca="1">+tblEmpleados[[#This Row],[Sueldo (s/)]]*tblEmpleados[[#This Row],[Antigüedad (años)]]</f>
        <v>6900</v>
      </c>
    </row>
    <row r="17" spans="1:7" x14ac:dyDescent="0.25">
      <c r="A17" s="2"/>
      <c r="B17" s="2"/>
      <c r="C17" s="2"/>
      <c r="D17" s="2"/>
      <c r="E17" s="2"/>
      <c r="F17" s="7">
        <f ca="1">SUM(F2:F16)</f>
        <v>89.367123287671234</v>
      </c>
      <c r="G17" s="9"/>
    </row>
    <row r="18" spans="1:7" x14ac:dyDescent="0.25">
      <c r="B18" t="s">
        <v>39</v>
      </c>
    </row>
    <row r="19" spans="1:7" x14ac:dyDescent="0.25">
      <c r="B19" s="6">
        <f ca="1">+TODAY()</f>
        <v>46218</v>
      </c>
    </row>
    <row r="20" spans="1:7" x14ac:dyDescent="0.25">
      <c r="B20" s="6"/>
      <c r="D20" t="b">
        <f>ISNUMBER(E2)</f>
        <v>1</v>
      </c>
      <c r="E20">
        <f>+TYPE(D20)</f>
        <v>4</v>
      </c>
    </row>
    <row r="25" spans="1:7" x14ac:dyDescent="0.25">
      <c r="C25">
        <v>256</v>
      </c>
    </row>
    <row r="26" spans="1:7" x14ac:dyDescent="0.25">
      <c r="C26">
        <v>12200</v>
      </c>
      <c r="D26">
        <f>+VALUE(TRIM(C26))</f>
        <v>12200</v>
      </c>
      <c r="E26">
        <f>+TYPE(C26)</f>
        <v>1</v>
      </c>
    </row>
    <row r="27" spans="1:7" x14ac:dyDescent="0.25">
      <c r="C27">
        <v>1526</v>
      </c>
    </row>
    <row r="29" spans="1:7" x14ac:dyDescent="0.25">
      <c r="C29">
        <v>12500</v>
      </c>
    </row>
    <row r="30" spans="1:7" x14ac:dyDescent="0.25">
      <c r="C30">
        <v>13200</v>
      </c>
    </row>
    <row r="31" spans="1:7" x14ac:dyDescent="0.25">
      <c r="C31">
        <f>+SUM(C29:C30)</f>
        <v>25700</v>
      </c>
    </row>
  </sheetData>
  <pageMargins left="0.75" right="0.75" top="1" bottom="1" header="0.5" footer="0.5"/>
  <pageSetup orientation="portrait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110" customWidth="1"/>
  </cols>
  <sheetData>
    <row r="1" spans="1:1" ht="16.5" x14ac:dyDescent="0.25">
      <c r="A1" s="3" t="s">
        <v>23</v>
      </c>
    </row>
    <row r="2" spans="1:1" x14ac:dyDescent="0.25">
      <c r="A2" s="4"/>
    </row>
    <row r="3" spans="1:1" x14ac:dyDescent="0.25">
      <c r="A3" s="4" t="s">
        <v>24</v>
      </c>
    </row>
    <row r="4" spans="1:1" x14ac:dyDescent="0.25">
      <c r="A4" s="4"/>
    </row>
    <row r="5" spans="1:1" x14ac:dyDescent="0.25">
      <c r="A5" s="4" t="s">
        <v>25</v>
      </c>
    </row>
    <row r="6" spans="1:1" x14ac:dyDescent="0.25">
      <c r="A6" s="4" t="s">
        <v>26</v>
      </c>
    </row>
    <row r="7" spans="1:1" x14ac:dyDescent="0.25">
      <c r="A7" s="4"/>
    </row>
    <row r="8" spans="1:1" x14ac:dyDescent="0.25">
      <c r="A8" s="4" t="s">
        <v>27</v>
      </c>
    </row>
    <row r="9" spans="1:1" x14ac:dyDescent="0.25">
      <c r="A9" s="4" t="s">
        <v>28</v>
      </c>
    </row>
    <row r="10" spans="1:1" x14ac:dyDescent="0.25">
      <c r="A10" s="4" t="s">
        <v>29</v>
      </c>
    </row>
    <row r="11" spans="1:1" x14ac:dyDescent="0.25">
      <c r="A11" s="4"/>
    </row>
    <row r="12" spans="1:1" x14ac:dyDescent="0.25">
      <c r="A12" s="4" t="s">
        <v>30</v>
      </c>
    </row>
    <row r="13" spans="1:1" x14ac:dyDescent="0.25">
      <c r="A13" s="4" t="s">
        <v>31</v>
      </c>
    </row>
    <row r="14" spans="1:1" x14ac:dyDescent="0.25">
      <c r="A14" s="4" t="s">
        <v>32</v>
      </c>
    </row>
    <row r="15" spans="1:1" x14ac:dyDescent="0.25">
      <c r="A15" s="4"/>
    </row>
    <row r="16" spans="1:1" x14ac:dyDescent="0.25">
      <c r="A16" s="4" t="s">
        <v>33</v>
      </c>
    </row>
    <row r="17" spans="1:1" x14ac:dyDescent="0.25">
      <c r="A17" s="4" t="s">
        <v>34</v>
      </c>
    </row>
    <row r="18" spans="1:1" x14ac:dyDescent="0.25">
      <c r="A18" s="4"/>
    </row>
    <row r="19" spans="1:1" x14ac:dyDescent="0.25">
      <c r="A19" s="4" t="s">
        <v>35</v>
      </c>
    </row>
    <row r="20" spans="1:1" x14ac:dyDescent="0.25">
      <c r="A20" s="4"/>
    </row>
    <row r="21" spans="1:1" x14ac:dyDescent="0.25">
      <c r="A21" s="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Datos_RRHH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2026-07-10T22:53:53Z</dcterms:created>
  <dcterms:modified xsi:type="dcterms:W3CDTF">2026-07-16T03:13:16Z</dcterms:modified>
</cp:coreProperties>
</file>