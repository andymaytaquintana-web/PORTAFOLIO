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795EB0-D334-4B21-A780-2BB8ADE49247}" xr6:coauthVersionLast="47" xr6:coauthVersionMax="47" xr10:uidLastSave="{00000000-0000-0000-0000-000000000000}"/>
  <bookViews>
    <workbookView xWindow="-120" yWindow="-120" windowWidth="19440" windowHeight="15150" activeTab="1" xr2:uid="{00000000-000D-0000-FFFF-FFFF00000000}"/>
  </bookViews>
  <sheets>
    <sheet name="Funciones_fecha" sheetId="1" r:id="rId1"/>
    <sheet name="Ejercici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4" i="2"/>
  <c r="G4" i="2"/>
  <c r="G5" i="2"/>
  <c r="G6" i="2"/>
  <c r="G7" i="2"/>
  <c r="G8" i="2"/>
  <c r="G9" i="2"/>
  <c r="G10" i="2"/>
  <c r="G11" i="2"/>
  <c r="G12" i="2"/>
  <c r="G13" i="2"/>
  <c r="F5" i="2"/>
  <c r="F6" i="2"/>
  <c r="F7" i="2"/>
  <c r="F8" i="2"/>
  <c r="F9" i="2"/>
  <c r="F10" i="2"/>
  <c r="F11" i="2"/>
  <c r="F12" i="2"/>
  <c r="F13" i="2"/>
  <c r="F4" i="2"/>
  <c r="E5" i="2"/>
  <c r="E6" i="2"/>
  <c r="E7" i="2"/>
  <c r="E8" i="2"/>
  <c r="E9" i="2"/>
  <c r="E10" i="2"/>
  <c r="E11" i="2"/>
  <c r="E12" i="2"/>
  <c r="E13" i="2"/>
  <c r="E4" i="2"/>
  <c r="D5" i="2"/>
  <c r="D6" i="2"/>
  <c r="D7" i="2"/>
  <c r="D8" i="2"/>
  <c r="D9" i="2"/>
  <c r="D10" i="2"/>
  <c r="D11" i="2"/>
  <c r="D12" i="2"/>
  <c r="D13" i="2"/>
  <c r="D4" i="2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  <c r="C3" i="1"/>
  <c r="C4" i="1"/>
  <c r="C5" i="1"/>
  <c r="C6" i="1"/>
  <c r="C7" i="1"/>
  <c r="C8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71B1346F-DDD6-4A06-9EBC-D06D71EED6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Asignamos el criterio "2" para considerar al lunes como primer día de la semana</t>
        </r>
      </text>
    </comment>
  </commentList>
</comments>
</file>

<file path=xl/sharedStrings.xml><?xml version="1.0" encoding="utf-8"?>
<sst xmlns="http://schemas.openxmlformats.org/spreadsheetml/2006/main" count="35" uniqueCount="31">
  <si>
    <t>EMPLEADO</t>
  </si>
  <si>
    <t>FECHA INCORPORACION</t>
  </si>
  <si>
    <t>EMP001</t>
  </si>
  <si>
    <t>EMP002</t>
  </si>
  <si>
    <t>EMP003</t>
  </si>
  <si>
    <t>EMP004</t>
  </si>
  <si>
    <t>EMP005</t>
  </si>
  <si>
    <t>EMP006</t>
  </si>
  <si>
    <t>EMP007</t>
  </si>
  <si>
    <t>FUNCIÓN DÍA</t>
  </si>
  <si>
    <t>FUNCION MES</t>
  </si>
  <si>
    <t>FUNCION AÑO</t>
  </si>
  <si>
    <t>FUNCION DIASEM</t>
  </si>
  <si>
    <t>FECHA+NUMERO</t>
  </si>
  <si>
    <t>DIA.LAV.INTL</t>
  </si>
  <si>
    <t>PLAZO</t>
  </si>
  <si>
    <t>NUMERO FACTURA CLIENTE</t>
  </si>
  <si>
    <t>CONCEPTO</t>
  </si>
  <si>
    <t>FECHA FACTURA CLIENTE</t>
  </si>
  <si>
    <t>MES FACTURA</t>
  </si>
  <si>
    <t>AÑO FACTURA</t>
  </si>
  <si>
    <t>FECHA PAGO1</t>
  </si>
  <si>
    <t>FECHA PAGO2</t>
  </si>
  <si>
    <t>DIA SEM FECHA PAGO2</t>
  </si>
  <si>
    <t>DESARROLLO</t>
  </si>
  <si>
    <t>PROYECTO</t>
  </si>
  <si>
    <t>EQUIPOS</t>
  </si>
  <si>
    <t>PROGRAMA</t>
  </si>
  <si>
    <t>FORMACION</t>
  </si>
  <si>
    <t>CONSULTORIA</t>
  </si>
  <si>
    <t>FESTIVOS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</si>
</sst>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H2" sqref="H2:H8"/>
    </sheetView>
  </sheetViews>
  <sheetFormatPr baseColWidth="10" defaultColWidth="11.42578125" defaultRowHeight="15" x14ac:dyDescent="0.25"/>
  <cols>
    <col min="1" max="1" width="10.7109375" bestFit="1" customWidth="1"/>
    <col min="2" max="2" width="16.42578125" bestFit="1" customWidth="1"/>
    <col min="3" max="3" width="12.85546875" bestFit="1" customWidth="1"/>
    <col min="4" max="4" width="13.42578125" bestFit="1" customWidth="1"/>
    <col min="5" max="5" width="13.85546875" bestFit="1" customWidth="1"/>
    <col min="6" max="6" width="16.7109375" bestFit="1" customWidth="1"/>
    <col min="7" max="7" width="24.7109375" bestFit="1" customWidth="1"/>
  </cols>
  <sheetData>
    <row r="1" spans="1:8" ht="30.75" customHeight="1" x14ac:dyDescent="0.25">
      <c r="A1" s="1" t="s">
        <v>0</v>
      </c>
      <c r="B1" s="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2</v>
      </c>
      <c r="B2" s="2">
        <v>37334</v>
      </c>
      <c r="C2">
        <f>+DAY(B2)</f>
        <v>19</v>
      </c>
      <c r="D2">
        <f>+MONTH(B2)</f>
        <v>3</v>
      </c>
      <c r="E2">
        <f>+YEAR(B2)</f>
        <v>2002</v>
      </c>
      <c r="F2">
        <f>+WEEKDAY(B2,2)</f>
        <v>2</v>
      </c>
      <c r="G2" s="2">
        <f>+B2+90</f>
        <v>37424</v>
      </c>
      <c r="H2">
        <f>+WORKDAY.INTL(B2,90)</f>
        <v>37460</v>
      </c>
    </row>
    <row r="3" spans="1:8" x14ac:dyDescent="0.25">
      <c r="A3" t="s">
        <v>3</v>
      </c>
      <c r="B3" s="2">
        <v>36555</v>
      </c>
      <c r="C3">
        <f t="shared" ref="C3:C8" si="0">+DAY(B3)</f>
        <v>30</v>
      </c>
      <c r="D3">
        <f t="shared" ref="D3:D8" si="1">+MONTH(B3)</f>
        <v>1</v>
      </c>
      <c r="E3">
        <f t="shared" ref="E3:E8" si="2">+YEAR(B3)</f>
        <v>2000</v>
      </c>
      <c r="F3">
        <f t="shared" ref="F3:F8" si="3">+WEEKDAY(B3,2)</f>
        <v>7</v>
      </c>
      <c r="G3" s="2">
        <f t="shared" ref="G3:G8" si="4">+B3+90</f>
        <v>36645</v>
      </c>
      <c r="H3">
        <f t="shared" ref="H3:H8" si="5">+WORKDAY.INTL(B3,90)</f>
        <v>36679</v>
      </c>
    </row>
    <row r="4" spans="1:8" x14ac:dyDescent="0.25">
      <c r="A4" t="s">
        <v>4</v>
      </c>
      <c r="B4" s="2">
        <v>38139</v>
      </c>
      <c r="C4">
        <f t="shared" si="0"/>
        <v>1</v>
      </c>
      <c r="D4">
        <f t="shared" si="1"/>
        <v>6</v>
      </c>
      <c r="E4">
        <f t="shared" si="2"/>
        <v>2004</v>
      </c>
      <c r="F4">
        <f t="shared" si="3"/>
        <v>2</v>
      </c>
      <c r="G4" s="2">
        <f t="shared" si="4"/>
        <v>38229</v>
      </c>
      <c r="H4">
        <f t="shared" si="5"/>
        <v>38265</v>
      </c>
    </row>
    <row r="5" spans="1:8" x14ac:dyDescent="0.25">
      <c r="A5" t="s">
        <v>5</v>
      </c>
      <c r="B5" s="2">
        <v>36868</v>
      </c>
      <c r="C5">
        <f t="shared" si="0"/>
        <v>8</v>
      </c>
      <c r="D5">
        <f t="shared" si="1"/>
        <v>12</v>
      </c>
      <c r="E5">
        <f t="shared" si="2"/>
        <v>2000</v>
      </c>
      <c r="F5">
        <f t="shared" si="3"/>
        <v>5</v>
      </c>
      <c r="G5" s="2">
        <f t="shared" si="4"/>
        <v>36958</v>
      </c>
      <c r="H5">
        <f t="shared" si="5"/>
        <v>36994</v>
      </c>
    </row>
    <row r="6" spans="1:8" x14ac:dyDescent="0.25">
      <c r="A6" t="s">
        <v>6</v>
      </c>
      <c r="B6" s="2">
        <v>38432</v>
      </c>
      <c r="C6">
        <f t="shared" si="0"/>
        <v>21</v>
      </c>
      <c r="D6">
        <f t="shared" si="1"/>
        <v>3</v>
      </c>
      <c r="E6">
        <f t="shared" si="2"/>
        <v>2005</v>
      </c>
      <c r="F6">
        <f t="shared" si="3"/>
        <v>1</v>
      </c>
      <c r="G6" s="2">
        <f t="shared" si="4"/>
        <v>38522</v>
      </c>
      <c r="H6">
        <f t="shared" si="5"/>
        <v>38558</v>
      </c>
    </row>
    <row r="7" spans="1:8" x14ac:dyDescent="0.25">
      <c r="A7" t="s">
        <v>7</v>
      </c>
      <c r="B7" s="2">
        <v>37474</v>
      </c>
      <c r="C7">
        <f t="shared" si="0"/>
        <v>6</v>
      </c>
      <c r="D7">
        <f t="shared" si="1"/>
        <v>8</v>
      </c>
      <c r="E7">
        <f t="shared" si="2"/>
        <v>2002</v>
      </c>
      <c r="F7">
        <f t="shared" si="3"/>
        <v>2</v>
      </c>
      <c r="G7" s="2">
        <f t="shared" si="4"/>
        <v>37564</v>
      </c>
      <c r="H7">
        <f t="shared" si="5"/>
        <v>37600</v>
      </c>
    </row>
    <row r="8" spans="1:8" x14ac:dyDescent="0.25">
      <c r="A8" t="s">
        <v>8</v>
      </c>
      <c r="B8" s="2">
        <v>37938</v>
      </c>
      <c r="C8">
        <f t="shared" si="0"/>
        <v>13</v>
      </c>
      <c r="D8">
        <f t="shared" si="1"/>
        <v>11</v>
      </c>
      <c r="E8">
        <f t="shared" si="2"/>
        <v>2003</v>
      </c>
      <c r="F8">
        <f t="shared" si="3"/>
        <v>4</v>
      </c>
      <c r="G8" s="2">
        <f t="shared" si="4"/>
        <v>38028</v>
      </c>
      <c r="H8">
        <f t="shared" si="5"/>
        <v>38064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workbookViewId="0">
      <selection activeCell="I4" sqref="I4"/>
    </sheetView>
  </sheetViews>
  <sheetFormatPr baseColWidth="10" defaultColWidth="11.42578125" defaultRowHeight="15" x14ac:dyDescent="0.25"/>
  <sheetData>
    <row r="1" spans="1:8" x14ac:dyDescent="0.25">
      <c r="A1" s="3" t="s">
        <v>15</v>
      </c>
      <c r="B1" s="3">
        <v>45</v>
      </c>
      <c r="C1" s="3"/>
      <c r="D1" s="3"/>
      <c r="E1" s="3"/>
      <c r="F1" s="3"/>
      <c r="G1" s="3"/>
      <c r="H1" s="3"/>
    </row>
    <row r="3" spans="1:8" ht="38.25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spans="1:8" x14ac:dyDescent="0.25">
      <c r="A4" s="5">
        <v>1</v>
      </c>
      <c r="B4" s="3" t="s">
        <v>24</v>
      </c>
      <c r="C4" s="6">
        <v>45383</v>
      </c>
      <c r="D4" s="3">
        <f>+MONTH(C4)</f>
        <v>4</v>
      </c>
      <c r="E4" s="3">
        <f>+YEAR(C4)</f>
        <v>2024</v>
      </c>
      <c r="F4" s="2">
        <f>+C4+$B$1</f>
        <v>45428</v>
      </c>
      <c r="G4" s="6">
        <f>(WORKDAY.INTL(C4,$B$1,1,$A$16:$A$27))</f>
        <v>45446</v>
      </c>
      <c r="H4" s="3">
        <f>+WEEKDAY(G4,2)</f>
        <v>1</v>
      </c>
    </row>
    <row r="5" spans="1:8" x14ac:dyDescent="0.25">
      <c r="A5" s="5">
        <v>2</v>
      </c>
      <c r="B5" s="3" t="s">
        <v>25</v>
      </c>
      <c r="C5" s="6">
        <v>45356</v>
      </c>
      <c r="D5" s="3">
        <f t="shared" ref="D5:D13" si="0">+MONTH(C5)</f>
        <v>3</v>
      </c>
      <c r="E5" s="3">
        <f t="shared" ref="E5:E13" si="1">+YEAR(C5)</f>
        <v>2024</v>
      </c>
      <c r="F5" s="6">
        <f t="shared" ref="F5:F13" si="2">+C5+$B$1</f>
        <v>45401</v>
      </c>
      <c r="G5" s="6">
        <f t="shared" ref="G5:G13" si="3">+WORKDAY.INTL(C5,$B$1,1,$A$16:$A$27)</f>
        <v>45421</v>
      </c>
      <c r="H5" s="3">
        <f t="shared" ref="H5:H13" si="4">+WEEKDAY(G5,2)</f>
        <v>4</v>
      </c>
    </row>
    <row r="6" spans="1:8" x14ac:dyDescent="0.25">
      <c r="A6" s="5">
        <v>3</v>
      </c>
      <c r="B6" s="3" t="s">
        <v>26</v>
      </c>
      <c r="C6" s="6">
        <v>45389</v>
      </c>
      <c r="D6" s="3">
        <f t="shared" si="0"/>
        <v>4</v>
      </c>
      <c r="E6" s="3">
        <f t="shared" si="1"/>
        <v>2024</v>
      </c>
      <c r="F6" s="6">
        <f t="shared" si="2"/>
        <v>45434</v>
      </c>
      <c r="G6" s="6">
        <f t="shared" si="3"/>
        <v>45450</v>
      </c>
      <c r="H6" s="3">
        <f t="shared" si="4"/>
        <v>5</v>
      </c>
    </row>
    <row r="7" spans="1:8" x14ac:dyDescent="0.25">
      <c r="A7" s="5">
        <v>4</v>
      </c>
      <c r="B7" s="3" t="s">
        <v>27</v>
      </c>
      <c r="C7" s="6">
        <v>45479</v>
      </c>
      <c r="D7" s="3">
        <f t="shared" si="0"/>
        <v>7</v>
      </c>
      <c r="E7" s="3">
        <f t="shared" si="1"/>
        <v>2024</v>
      </c>
      <c r="F7" s="6">
        <f t="shared" si="2"/>
        <v>45524</v>
      </c>
      <c r="G7" s="6">
        <f t="shared" si="3"/>
        <v>45545</v>
      </c>
      <c r="H7" s="3">
        <f t="shared" si="4"/>
        <v>2</v>
      </c>
    </row>
    <row r="8" spans="1:8" x14ac:dyDescent="0.25">
      <c r="A8" s="5">
        <v>5</v>
      </c>
      <c r="B8" s="3" t="s">
        <v>28</v>
      </c>
      <c r="C8" s="6">
        <v>45395</v>
      </c>
      <c r="D8" s="3">
        <f t="shared" si="0"/>
        <v>4</v>
      </c>
      <c r="E8" s="3">
        <f t="shared" si="1"/>
        <v>2024</v>
      </c>
      <c r="F8" s="6">
        <f t="shared" si="2"/>
        <v>45440</v>
      </c>
      <c r="G8" s="6">
        <f t="shared" si="3"/>
        <v>45457</v>
      </c>
      <c r="H8" s="3">
        <f t="shared" si="4"/>
        <v>5</v>
      </c>
    </row>
    <row r="9" spans="1:8" x14ac:dyDescent="0.25">
      <c r="A9" s="5">
        <v>6</v>
      </c>
      <c r="B9" s="3" t="s">
        <v>29</v>
      </c>
      <c r="C9" s="6">
        <v>45552</v>
      </c>
      <c r="D9" s="3">
        <f t="shared" si="0"/>
        <v>9</v>
      </c>
      <c r="E9" s="3">
        <f t="shared" si="1"/>
        <v>2024</v>
      </c>
      <c r="F9" s="6">
        <f t="shared" si="2"/>
        <v>45597</v>
      </c>
      <c r="G9" s="6">
        <f t="shared" si="3"/>
        <v>45616</v>
      </c>
      <c r="H9" s="3">
        <f t="shared" si="4"/>
        <v>3</v>
      </c>
    </row>
    <row r="10" spans="1:8" x14ac:dyDescent="0.25">
      <c r="A10" s="5">
        <v>7</v>
      </c>
      <c r="B10" s="3" t="s">
        <v>24</v>
      </c>
      <c r="C10" s="6">
        <v>45331</v>
      </c>
      <c r="D10" s="3">
        <f t="shared" si="0"/>
        <v>2</v>
      </c>
      <c r="E10" s="3">
        <f t="shared" si="1"/>
        <v>2024</v>
      </c>
      <c r="F10" s="6">
        <f t="shared" si="2"/>
        <v>45376</v>
      </c>
      <c r="G10" s="6">
        <f t="shared" si="3"/>
        <v>45398</v>
      </c>
      <c r="H10" s="3">
        <f t="shared" si="4"/>
        <v>2</v>
      </c>
    </row>
    <row r="11" spans="1:8" x14ac:dyDescent="0.25">
      <c r="A11" s="5">
        <v>8</v>
      </c>
      <c r="B11" s="3" t="s">
        <v>25</v>
      </c>
      <c r="C11" s="6">
        <v>45398</v>
      </c>
      <c r="D11" s="3">
        <f t="shared" si="0"/>
        <v>4</v>
      </c>
      <c r="E11" s="3">
        <f t="shared" si="1"/>
        <v>2024</v>
      </c>
      <c r="F11" s="6">
        <f t="shared" si="2"/>
        <v>45443</v>
      </c>
      <c r="G11" s="6">
        <f t="shared" si="3"/>
        <v>45461</v>
      </c>
      <c r="H11" s="3">
        <f t="shared" si="4"/>
        <v>2</v>
      </c>
    </row>
    <row r="12" spans="1:8" x14ac:dyDescent="0.25">
      <c r="A12" s="5">
        <v>9</v>
      </c>
      <c r="B12" s="3" t="s">
        <v>26</v>
      </c>
      <c r="C12" s="6">
        <v>45391</v>
      </c>
      <c r="D12" s="3">
        <f t="shared" si="0"/>
        <v>4</v>
      </c>
      <c r="E12" s="3">
        <f t="shared" si="1"/>
        <v>2024</v>
      </c>
      <c r="F12" s="6">
        <f t="shared" si="2"/>
        <v>45436</v>
      </c>
      <c r="G12" s="6">
        <f t="shared" si="3"/>
        <v>45454</v>
      </c>
      <c r="H12" s="3">
        <f t="shared" si="4"/>
        <v>2</v>
      </c>
    </row>
    <row r="13" spans="1:8" x14ac:dyDescent="0.25">
      <c r="A13" s="5">
        <v>10</v>
      </c>
      <c r="B13" s="3" t="s">
        <v>27</v>
      </c>
      <c r="C13" s="6">
        <v>45402</v>
      </c>
      <c r="D13" s="3">
        <f t="shared" si="0"/>
        <v>4</v>
      </c>
      <c r="E13" s="3">
        <f t="shared" si="1"/>
        <v>2024</v>
      </c>
      <c r="F13" s="6">
        <f t="shared" si="2"/>
        <v>45447</v>
      </c>
      <c r="G13" s="6">
        <f t="shared" si="3"/>
        <v>45464</v>
      </c>
      <c r="H13" s="3">
        <f t="shared" si="4"/>
        <v>5</v>
      </c>
    </row>
    <row r="15" spans="1:8" x14ac:dyDescent="0.25">
      <c r="A15" s="7" t="s">
        <v>30</v>
      </c>
      <c r="B15" s="3"/>
      <c r="C15" s="3"/>
      <c r="D15" s="3"/>
      <c r="E15" s="3"/>
      <c r="F15" s="3"/>
      <c r="G15" s="3"/>
      <c r="H15" s="3"/>
    </row>
    <row r="16" spans="1:8" x14ac:dyDescent="0.25">
      <c r="A16" s="6">
        <v>45292</v>
      </c>
      <c r="B16" s="3"/>
      <c r="C16" s="3"/>
      <c r="D16" s="3"/>
      <c r="E16" s="3"/>
      <c r="F16" s="3"/>
      <c r="G16" s="3"/>
      <c r="H16" s="3"/>
    </row>
    <row r="17" spans="1:1" x14ac:dyDescent="0.25">
      <c r="A17" s="6">
        <v>45297</v>
      </c>
    </row>
    <row r="18" spans="1:1" x14ac:dyDescent="0.25">
      <c r="A18" s="6">
        <v>45379</v>
      </c>
    </row>
    <row r="19" spans="1:1" x14ac:dyDescent="0.25">
      <c r="A19" s="6">
        <v>45380</v>
      </c>
    </row>
    <row r="20" spans="1:1" x14ac:dyDescent="0.25">
      <c r="A20" s="6">
        <v>45498</v>
      </c>
    </row>
    <row r="21" spans="1:1" x14ac:dyDescent="0.25">
      <c r="A21" s="6">
        <v>45519</v>
      </c>
    </row>
    <row r="22" spans="1:1" x14ac:dyDescent="0.25">
      <c r="A22" s="6">
        <v>45577</v>
      </c>
    </row>
    <row r="23" spans="1:1" x14ac:dyDescent="0.25">
      <c r="A23" s="6">
        <v>45597</v>
      </c>
    </row>
    <row r="24" spans="1:1" x14ac:dyDescent="0.25">
      <c r="A24" s="6">
        <v>45605</v>
      </c>
    </row>
    <row r="25" spans="1:1" x14ac:dyDescent="0.25">
      <c r="A25" s="6">
        <v>45632</v>
      </c>
    </row>
    <row r="26" spans="1:1" x14ac:dyDescent="0.25">
      <c r="A26" s="6">
        <v>45634</v>
      </c>
    </row>
    <row r="27" spans="1:1" x14ac:dyDescent="0.25">
      <c r="A27" s="6">
        <v>45651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Funciones_fecha</vt:lpstr>
      <vt:lpstr>Ejercicio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andymaytaquintana@hotmail.com</cp:lastModifiedBy>
  <cp:revision/>
  <dcterms:created xsi:type="dcterms:W3CDTF">2011-06-05T18:24:31Z</dcterms:created>
  <dcterms:modified xsi:type="dcterms:W3CDTF">2026-10-25T04:30:01Z</dcterms:modified>
  <cp:category/>
  <cp:contentStatus/>
</cp:coreProperties>
</file>