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2AC4342-8C3A-48DD-A888-B7639D9ECE29}" xr6:coauthVersionLast="47" xr6:coauthVersionMax="47" xr10:uidLastSave="{00000000-0000-0000-0000-000000000000}"/>
  <bookViews>
    <workbookView xWindow="-120" yWindow="-120" windowWidth="19440" windowHeight="15150" activeTab="3" xr2:uid="{00000000-000D-0000-FFFF-FFFF00000000}"/>
  </bookViews>
  <sheets>
    <sheet name="GASTOS" sheetId="1" r:id="rId1"/>
    <sheet name="SI.CONJUNTO" sheetId="2" r:id="rId2"/>
    <sheet name="Ejercicio" sheetId="3" r:id="rId3"/>
    <sheet name="SI" sheetId="4" r:id="rId4"/>
  </sheets>
  <definedNames>
    <definedName name="Consulta1">GASTOS!$A$1:$E$11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6" i="4" l="1" a="1"/>
  <c r="C6" i="4" s="1"/>
  <c r="C7" i="4" a="1"/>
  <c r="C7" i="4"/>
  <c r="C8" i="4" a="1"/>
  <c r="C8" i="4" s="1"/>
  <c r="C9" i="4" a="1"/>
  <c r="C9" i="4"/>
  <c r="C10" i="4" a="1"/>
  <c r="C10" i="4" s="1"/>
  <c r="C11" i="4" a="1"/>
  <c r="C11" i="4"/>
  <c r="C12" i="4" a="1"/>
  <c r="C12" i="4" s="1"/>
  <c r="C13" i="4" a="1"/>
  <c r="C13" i="4"/>
  <c r="C14" i="4" a="1"/>
  <c r="C14" i="4" s="1"/>
  <c r="C15" i="4" a="1"/>
  <c r="C15" i="4"/>
  <c r="C16" i="4" a="1"/>
  <c r="C16" i="4" s="1"/>
  <c r="C17" i="4" a="1"/>
  <c r="C17" i="4"/>
  <c r="C18" i="4" a="1"/>
  <c r="C18" i="4" s="1"/>
  <c r="C19" i="4" a="1"/>
  <c r="C19" i="4"/>
  <c r="C20" i="4" a="1"/>
  <c r="C20" i="4" s="1"/>
  <c r="C21" i="4" a="1"/>
  <c r="C21" i="4"/>
  <c r="C22" i="4" a="1"/>
  <c r="C22" i="4" s="1"/>
  <c r="C23" i="4" a="1"/>
  <c r="C23" i="4"/>
  <c r="C24" i="4" a="1"/>
  <c r="C24" i="4" s="1"/>
  <c r="C5" i="4" a="1"/>
  <c r="C5" i="4" s="1"/>
  <c r="C17" i="3" a="1"/>
  <c r="C17" i="3"/>
  <c r="C18" i="3" a="1"/>
  <c r="C18" i="3" s="1"/>
  <c r="C19" i="3" a="1"/>
  <c r="C19" i="3" s="1"/>
  <c r="C20" i="3" a="1"/>
  <c r="C20" i="3"/>
  <c r="C21" i="3" a="1"/>
  <c r="C21" i="3" s="1"/>
  <c r="C16" i="3" a="1"/>
  <c r="C16" i="3" s="1"/>
  <c r="F3" i="2" a="1"/>
  <c r="F3" i="2" s="1"/>
  <c r="F4" i="2" a="1"/>
  <c r="F4" i="2"/>
  <c r="F5" i="2" a="1"/>
  <c r="F5" i="2" s="1"/>
  <c r="F6" i="2" a="1"/>
  <c r="F6" i="2"/>
  <c r="F7" i="2" a="1"/>
  <c r="F7" i="2" s="1"/>
  <c r="F8" i="2" a="1"/>
  <c r="F8" i="2"/>
  <c r="F9" i="2" a="1"/>
  <c r="F9" i="2" s="1"/>
  <c r="F10" i="2" a="1"/>
  <c r="F10" i="2"/>
  <c r="F11" i="2" a="1"/>
  <c r="F11" i="2" s="1"/>
  <c r="F12" i="2" a="1"/>
  <c r="F12" i="2"/>
  <c r="F13" i="2" a="1"/>
  <c r="F13" i="2" s="1"/>
  <c r="F14" i="2" a="1"/>
  <c r="F14" i="2"/>
  <c r="F15" i="2" a="1"/>
  <c r="F15" i="2" s="1"/>
  <c r="F16" i="2" a="1"/>
  <c r="F16" i="2"/>
  <c r="F2" i="2" a="1"/>
  <c r="F2" i="2"/>
  <c r="G3" i="1"/>
  <c r="G4" i="1"/>
  <c r="G5" i="1"/>
  <c r="G6" i="1"/>
  <c r="G7" i="1"/>
  <c r="G8" i="1"/>
  <c r="G9" i="1"/>
  <c r="G10" i="1"/>
  <c r="G11" i="1"/>
  <c r="G2" i="1"/>
  <c r="I3" i="1"/>
  <c r="I4" i="1"/>
  <c r="I5" i="1"/>
  <c r="I6" i="1"/>
  <c r="I7" i="1"/>
  <c r="I8" i="1"/>
  <c r="I9" i="1"/>
  <c r="I10" i="1"/>
  <c r="I11" i="1"/>
  <c r="I2" i="1"/>
  <c r="H3" i="1"/>
  <c r="H4" i="1"/>
  <c r="H5" i="1"/>
  <c r="H6" i="1"/>
  <c r="H7" i="1"/>
  <c r="H8" i="1"/>
  <c r="H9" i="1"/>
  <c r="H10" i="1"/>
  <c r="H11" i="1"/>
  <c r="H2" i="1"/>
  <c r="F5" i="1"/>
  <c r="F3" i="1"/>
  <c r="F4" i="1"/>
  <c r="F6" i="1"/>
  <c r="F7" i="1"/>
  <c r="F8" i="1"/>
  <c r="F9" i="1"/>
  <c r="F10" i="1"/>
  <c r="F11" i="1"/>
  <c r="F2" i="1"/>
  <c r="D3" i="1"/>
  <c r="D4" i="1"/>
  <c r="D5" i="1"/>
  <c r="D6" i="1"/>
  <c r="D7" i="1"/>
  <c r="D8" i="1"/>
  <c r="D9" i="1"/>
  <c r="D10" i="1"/>
  <c r="D11" i="1"/>
  <c r="D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<sst xmlns="http://schemas.openxmlformats.org/spreadsheetml/2006/main" count="80" uniqueCount="48">
  <si>
    <t>Num Gasto</t>
  </si>
  <si>
    <t>Fecha Gasto</t>
  </si>
  <si>
    <t>Fecha Pagado</t>
  </si>
  <si>
    <t>Empleado</t>
  </si>
  <si>
    <t>Alejandro Moreno Nieto</t>
  </si>
  <si>
    <t>David Peña Ramírez</t>
  </si>
  <si>
    <t>Marcial Lorenzo Bejarano</t>
  </si>
  <si>
    <t>Juan José Núñez Pérezoso</t>
  </si>
  <si>
    <t>Norberto Ferrando Luna</t>
  </si>
  <si>
    <t>Emilio Fuentes Arona</t>
  </si>
  <si>
    <t>Patricia Jiménez García</t>
  </si>
  <si>
    <t>Carmen Gutierrez Sánchez</t>
  </si>
  <si>
    <t>Fernando García Hernández</t>
  </si>
  <si>
    <t>Sandra Rupérez Martín</t>
  </si>
  <si>
    <t>Fecha Pago</t>
  </si>
  <si>
    <t>Días Lab Pasados</t>
  </si>
  <si>
    <t>Num Gasto Final</t>
  </si>
  <si>
    <t>FESTIVOS</t>
  </si>
  <si>
    <t>Días Pasados</t>
  </si>
  <si>
    <t>Día Semana Pago</t>
  </si>
  <si>
    <t>CURSO</t>
  </si>
  <si>
    <t>PRECIO HORA</t>
  </si>
  <si>
    <t>DURACIÓN</t>
  </si>
  <si>
    <t>PRECIO TOTAL</t>
  </si>
  <si>
    <t>CURSO WORD</t>
  </si>
  <si>
    <t>Access</t>
  </si>
  <si>
    <t>CURSO EXCEL</t>
  </si>
  <si>
    <t>Excel</t>
  </si>
  <si>
    <t>CURSOACCESS</t>
  </si>
  <si>
    <t>Word</t>
  </si>
  <si>
    <t>CURSO DISEÑO</t>
  </si>
  <si>
    <t>CURSO INTERNET</t>
  </si>
  <si>
    <t>Internet</t>
  </si>
  <si>
    <t>Diseño</t>
  </si>
  <si>
    <t>Alumno</t>
  </si>
  <si>
    <t>Puntuación</t>
  </si>
  <si>
    <t>Calificación</t>
  </si>
  <si>
    <t>Alumno 1</t>
  </si>
  <si>
    <t>Alumno 2</t>
  </si>
  <si>
    <t>Alumno 3</t>
  </si>
  <si>
    <t>Alumno 4</t>
  </si>
  <si>
    <t>Alumno 5</t>
  </si>
  <si>
    <t>Alumno 6</t>
  </si>
  <si>
    <t>PRECIO
WORD Y OUTLOOK</t>
  </si>
  <si>
    <t>PRECIO EXCEL</t>
  </si>
  <si>
    <t>TOTAL</t>
  </si>
  <si>
    <t>DESCUENTO</t>
  </si>
  <si>
    <t>Outlook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</si>
</sst>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_-* #,##0.00\ [$€-1]_-;\-* #,##0.00\ [$€-1]_-;_-* &quot;-&quot;??\ [$€-1]_-"/>
    <numFmt numFmtId="172" formatCode="_-* #,##0.00\ [$€-1]_-;\-* #,##0.00\ [$€-1]_-;_-* &quot;-&quot;??\ [$€-1]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7" fontId="3" fillId="0" borderId="0" applyFont="0" applyFill="0" applyBorder="0" applyAlignment="0" applyProtection="0"/>
  </cellStyleXfs>
  <cellXfs count="19">
    <xf numFmtId="0" fontId="0" fillId="0" borderId="0" xfId="0"/>
    <xf numFmtId="14" fontId="0" fillId="0" borderId="0" xfId="0" applyNumberFormat="1" applyAlignment="1">
      <alignment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NumberFormat="1" applyAlignment="1">
      <alignment vertical="center"/>
    </xf>
    <xf numFmtId="1" fontId="0" fillId="0" borderId="0" xfId="0" applyNumberFormat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67" fontId="3" fillId="0" borderId="1" xfId="1" applyFont="1" applyBorder="1" applyAlignment="1">
      <alignment vertical="center" wrapText="1"/>
    </xf>
    <xf numFmtId="167" fontId="3" fillId="0" borderId="1" xfId="1" applyFont="1" applyBorder="1" applyAlignment="1">
      <alignment vertical="center"/>
    </xf>
    <xf numFmtId="0" fontId="3" fillId="0" borderId="0" xfId="0" applyFont="1" applyAlignment="1">
      <alignment vertical="center"/>
    </xf>
    <xf numFmtId="167" fontId="2" fillId="0" borderId="1" xfId="1" applyFont="1" applyBorder="1" applyAlignment="1">
      <alignment vertical="center" wrapText="1"/>
    </xf>
    <xf numFmtId="0" fontId="0" fillId="0" borderId="0" xfId="0"/>
    <xf numFmtId="0" fontId="1" fillId="0" borderId="1" xfId="0" applyFont="1" applyBorder="1" applyAlignment="1">
      <alignment horizontal="center" vertical="top"/>
    </xf>
    <xf numFmtId="167" fontId="2" fillId="0" borderId="1" xfId="1" applyFont="1" applyBorder="1" applyAlignment="1">
      <alignment vertical="center"/>
    </xf>
    <xf numFmtId="172" fontId="3" fillId="0" borderId="0" xfId="0" applyNumberFormat="1" applyFont="1" applyAlignment="1">
      <alignment vertical="center"/>
    </xf>
  </cellXfs>
  <cellStyles count="2">
    <cellStyle name="Euro" xfId="1" xr:uid="{06B1916D-E6E4-49FA-A410-F119CC8C4E5F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2</xdr:row>
      <xdr:rowOff>47625</xdr:rowOff>
    </xdr:from>
    <xdr:to>
      <xdr:col>9</xdr:col>
      <xdr:colOff>180075</xdr:colOff>
      <xdr:row>11</xdr:row>
      <xdr:rowOff>161696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AC34D1A-CC85-4A5C-BEF7-D001D83BE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" y="428625"/>
          <a:ext cx="7200000" cy="18285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342900</xdr:colOff>
      <xdr:row>0</xdr:row>
      <xdr:rowOff>95250</xdr:rowOff>
    </xdr:from>
    <xdr:to>
      <xdr:col>14</xdr:col>
      <xdr:colOff>76199</xdr:colOff>
      <xdr:row>6</xdr:row>
      <xdr:rowOff>66482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8DB30D6-2830-4958-9A06-A74A6D9EC1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14900" y="95250"/>
          <a:ext cx="5829299" cy="1542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workbookViewId="0">
      <selection activeCell="F26" sqref="F26"/>
    </sheetView>
  </sheetViews>
  <sheetFormatPr baseColWidth="10" defaultColWidth="9.140625" defaultRowHeight="15" x14ac:dyDescent="0.25"/>
  <cols>
    <col min="1" max="1" width="12" customWidth="1"/>
    <col min="2" max="2" width="26" bestFit="1" customWidth="1"/>
    <col min="3" max="3" width="10.7109375" bestFit="1" customWidth="1"/>
    <col min="4" max="4" width="10.7109375" customWidth="1"/>
    <col min="5" max="5" width="10.7109375" bestFit="1" customWidth="1"/>
    <col min="6" max="6" width="9.7109375" customWidth="1"/>
    <col min="7" max="7" width="14" customWidth="1"/>
    <col min="8" max="8" width="11.5703125" customWidth="1"/>
    <col min="9" max="9" width="13.28515625" customWidth="1"/>
    <col min="12" max="12" width="10.5703125" bestFit="1" customWidth="1"/>
  </cols>
  <sheetData>
    <row r="1" spans="1:12" s="2" customFormat="1" ht="30" x14ac:dyDescent="0.25">
      <c r="A1" s="2" t="s">
        <v>0</v>
      </c>
      <c r="B1" s="2" t="s">
        <v>3</v>
      </c>
      <c r="C1" s="2" t="s">
        <v>1</v>
      </c>
      <c r="D1" s="2" t="s">
        <v>14</v>
      </c>
      <c r="E1" s="2" t="s">
        <v>2</v>
      </c>
      <c r="F1" s="2" t="s">
        <v>18</v>
      </c>
      <c r="G1" s="2" t="s">
        <v>15</v>
      </c>
      <c r="H1" s="2" t="s">
        <v>19</v>
      </c>
      <c r="I1" s="2" t="s">
        <v>16</v>
      </c>
      <c r="L1" s="4" t="s">
        <v>17</v>
      </c>
    </row>
    <row r="2" spans="1:12" x14ac:dyDescent="0.25">
      <c r="A2">
        <v>1</v>
      </c>
      <c r="B2" t="s">
        <v>4</v>
      </c>
      <c r="C2" s="1">
        <v>45710</v>
      </c>
      <c r="D2" s="1">
        <f>+DATE(YEAR(C2),MONTH(C2)+2,15)</f>
        <v>45762</v>
      </c>
      <c r="E2" s="1">
        <v>45764</v>
      </c>
      <c r="F2" s="6">
        <f>+E2-D2</f>
        <v>2</v>
      </c>
      <c r="G2" s="5">
        <f ca="1">+NETWORKDAYS.INTL(C2,TODAY(),1,$L$2:$L$5)</f>
        <v>437</v>
      </c>
      <c r="H2" t="str">
        <f>+TEXT(D2,"DDDD")</f>
        <v>martes</v>
      </c>
      <c r="I2" t="str">
        <f>+TEXT(A2,"00")</f>
        <v>01</v>
      </c>
      <c r="L2" s="3">
        <v>45658</v>
      </c>
    </row>
    <row r="3" spans="1:12" x14ac:dyDescent="0.25">
      <c r="A3">
        <v>2</v>
      </c>
      <c r="B3" t="s">
        <v>5</v>
      </c>
      <c r="C3" s="1">
        <v>45709</v>
      </c>
      <c r="D3" s="1">
        <f t="shared" ref="D3:D11" si="0">+DATE(YEAR(C3),MONTH(C3)+2,15)</f>
        <v>45762</v>
      </c>
      <c r="E3" s="1">
        <v>45762</v>
      </c>
      <c r="F3" s="6">
        <f t="shared" ref="F3:F11" si="1">+E3-D3</f>
        <v>0</v>
      </c>
      <c r="G3" s="5">
        <f t="shared" ref="G3:G11" ca="1" si="2">+NETWORKDAYS.INTL(C3,TODAY(),1,$L$2:$L$5)</f>
        <v>438</v>
      </c>
      <c r="H3" t="str">
        <f t="shared" ref="H3:H11" si="3">+TEXT(D3,"DDDD")</f>
        <v>martes</v>
      </c>
      <c r="I3" t="str">
        <f t="shared" ref="I3:I11" si="4">+TEXT(A3,"00")</f>
        <v>02</v>
      </c>
      <c r="L3" s="3">
        <v>45663</v>
      </c>
    </row>
    <row r="4" spans="1:12" x14ac:dyDescent="0.25">
      <c r="A4">
        <v>3</v>
      </c>
      <c r="B4" t="s">
        <v>6</v>
      </c>
      <c r="C4" s="1">
        <v>45718</v>
      </c>
      <c r="D4" s="1">
        <f t="shared" si="0"/>
        <v>45792</v>
      </c>
      <c r="E4" s="1">
        <v>45792</v>
      </c>
      <c r="F4" s="6">
        <f t="shared" si="1"/>
        <v>0</v>
      </c>
      <c r="G4" s="5">
        <f t="shared" ca="1" si="2"/>
        <v>433</v>
      </c>
      <c r="H4" t="str">
        <f t="shared" si="3"/>
        <v>jueves</v>
      </c>
      <c r="I4" t="str">
        <f t="shared" si="4"/>
        <v>03</v>
      </c>
      <c r="L4" s="3">
        <v>45716</v>
      </c>
    </row>
    <row r="5" spans="1:12" x14ac:dyDescent="0.25">
      <c r="A5">
        <v>4</v>
      </c>
      <c r="B5" t="s">
        <v>7</v>
      </c>
      <c r="C5" s="1">
        <v>45710</v>
      </c>
      <c r="D5" s="1">
        <f t="shared" si="0"/>
        <v>45762</v>
      </c>
      <c r="E5" s="1">
        <v>45759</v>
      </c>
      <c r="F5" s="6">
        <f>+E5-D5</f>
        <v>-3</v>
      </c>
      <c r="G5" s="5">
        <f t="shared" ca="1" si="2"/>
        <v>437</v>
      </c>
      <c r="H5" t="str">
        <f t="shared" si="3"/>
        <v>martes</v>
      </c>
      <c r="I5" t="str">
        <f t="shared" si="4"/>
        <v>04</v>
      </c>
      <c r="L5" s="3">
        <v>45735</v>
      </c>
    </row>
    <row r="6" spans="1:12" x14ac:dyDescent="0.25">
      <c r="A6">
        <v>5</v>
      </c>
      <c r="B6" t="s">
        <v>8</v>
      </c>
      <c r="C6" s="1">
        <v>45701</v>
      </c>
      <c r="D6" s="1">
        <f t="shared" si="0"/>
        <v>45762</v>
      </c>
      <c r="E6" s="1">
        <v>45760</v>
      </c>
      <c r="F6" s="6">
        <f t="shared" si="1"/>
        <v>-2</v>
      </c>
      <c r="G6" s="5">
        <f t="shared" ca="1" si="2"/>
        <v>444</v>
      </c>
      <c r="H6" t="str">
        <f t="shared" si="3"/>
        <v>martes</v>
      </c>
      <c r="I6" t="str">
        <f t="shared" si="4"/>
        <v>05</v>
      </c>
    </row>
    <row r="7" spans="1:12" x14ac:dyDescent="0.25">
      <c r="A7">
        <v>6</v>
      </c>
      <c r="B7" t="s">
        <v>9</v>
      </c>
      <c r="C7" s="1">
        <v>45721</v>
      </c>
      <c r="D7" s="1">
        <f t="shared" si="0"/>
        <v>45792</v>
      </c>
      <c r="E7" s="1">
        <v>45793</v>
      </c>
      <c r="F7" s="6">
        <f t="shared" si="1"/>
        <v>1</v>
      </c>
      <c r="G7" s="5">
        <f t="shared" ca="1" si="2"/>
        <v>431</v>
      </c>
      <c r="H7" t="str">
        <f t="shared" si="3"/>
        <v>jueves</v>
      </c>
      <c r="I7" t="str">
        <f t="shared" si="4"/>
        <v>06</v>
      </c>
    </row>
    <row r="8" spans="1:12" x14ac:dyDescent="0.25">
      <c r="A8">
        <v>7</v>
      </c>
      <c r="B8" t="s">
        <v>10</v>
      </c>
      <c r="C8" s="1">
        <v>45659</v>
      </c>
      <c r="D8" s="1">
        <f t="shared" si="0"/>
        <v>45731</v>
      </c>
      <c r="E8" s="1">
        <v>45736</v>
      </c>
      <c r="F8" s="6">
        <f t="shared" si="1"/>
        <v>5</v>
      </c>
      <c r="G8" s="5">
        <f t="shared" ca="1" si="2"/>
        <v>473</v>
      </c>
      <c r="H8" t="str">
        <f t="shared" si="3"/>
        <v>sábado</v>
      </c>
      <c r="I8" t="str">
        <f t="shared" si="4"/>
        <v>07</v>
      </c>
    </row>
    <row r="9" spans="1:12" x14ac:dyDescent="0.25">
      <c r="A9">
        <v>8</v>
      </c>
      <c r="B9" t="s">
        <v>11</v>
      </c>
      <c r="C9" s="1">
        <v>45699</v>
      </c>
      <c r="D9" s="1">
        <f t="shared" si="0"/>
        <v>45762</v>
      </c>
      <c r="E9" s="1">
        <v>45762</v>
      </c>
      <c r="F9" s="6">
        <f t="shared" si="1"/>
        <v>0</v>
      </c>
      <c r="G9" s="5">
        <f t="shared" ca="1" si="2"/>
        <v>446</v>
      </c>
      <c r="H9" t="str">
        <f t="shared" si="3"/>
        <v>martes</v>
      </c>
      <c r="I9" t="str">
        <f t="shared" si="4"/>
        <v>08</v>
      </c>
    </row>
    <row r="10" spans="1:12" x14ac:dyDescent="0.25">
      <c r="A10">
        <v>9</v>
      </c>
      <c r="B10" t="s">
        <v>12</v>
      </c>
      <c r="C10" s="1">
        <v>45663</v>
      </c>
      <c r="D10" s="1">
        <f t="shared" si="0"/>
        <v>45731</v>
      </c>
      <c r="E10" s="1">
        <v>45731</v>
      </c>
      <c r="F10" s="6">
        <f t="shared" si="1"/>
        <v>0</v>
      </c>
      <c r="G10" s="5">
        <f t="shared" ca="1" si="2"/>
        <v>471</v>
      </c>
      <c r="H10" t="str">
        <f t="shared" si="3"/>
        <v>sábado</v>
      </c>
      <c r="I10" t="str">
        <f t="shared" si="4"/>
        <v>09</v>
      </c>
    </row>
    <row r="11" spans="1:12" x14ac:dyDescent="0.25">
      <c r="A11">
        <v>10</v>
      </c>
      <c r="B11" t="s">
        <v>13</v>
      </c>
      <c r="C11" s="1">
        <v>45682</v>
      </c>
      <c r="D11" s="1">
        <f t="shared" si="0"/>
        <v>45731</v>
      </c>
      <c r="E11" s="1">
        <v>45726</v>
      </c>
      <c r="F11" s="6">
        <f t="shared" si="1"/>
        <v>-5</v>
      </c>
      <c r="G11" s="5">
        <f t="shared" ca="1" si="2"/>
        <v>457</v>
      </c>
      <c r="H11" t="str">
        <f t="shared" si="3"/>
        <v>sábado</v>
      </c>
      <c r="I11" t="str">
        <f t="shared" si="4"/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D6729-5F06-456B-B94B-1091D3B06716}">
  <dimension ref="A1:F16"/>
  <sheetViews>
    <sheetView workbookViewId="0">
      <selection activeCell="D30" sqref="D30"/>
    </sheetView>
  </sheetViews>
  <sheetFormatPr baseColWidth="10" defaultRowHeight="15" x14ac:dyDescent="0.25"/>
  <cols>
    <col min="1" max="1" width="17.7109375" customWidth="1"/>
    <col min="6" max="6" width="16.5703125" customWidth="1"/>
  </cols>
  <sheetData>
    <row r="1" spans="1:6" ht="25.5" x14ac:dyDescent="0.25">
      <c r="A1" s="7" t="s">
        <v>20</v>
      </c>
      <c r="B1" s="7" t="s">
        <v>21</v>
      </c>
      <c r="C1" s="8"/>
      <c r="D1" s="9" t="s">
        <v>20</v>
      </c>
      <c r="E1" s="9" t="s">
        <v>22</v>
      </c>
      <c r="F1" s="10" t="s">
        <v>23</v>
      </c>
    </row>
    <row r="2" spans="1:6" ht="25.5" x14ac:dyDescent="0.25">
      <c r="A2" s="11" t="s">
        <v>24</v>
      </c>
      <c r="B2" s="12">
        <v>20</v>
      </c>
      <c r="C2" s="8"/>
      <c r="D2" s="8" t="s">
        <v>25</v>
      </c>
      <c r="E2" s="8">
        <v>8</v>
      </c>
      <c r="F2" s="8" cm="1">
        <f t="array" ref="F2">+_xlfn.IFS(D2="Word",E2*$B$2,D2="Excel",$B$3*E2,D2="Access",$B$4*E2,D2="Diseño",$B$5*E2,D2="Internet",$B$6*E2)</f>
        <v>240</v>
      </c>
    </row>
    <row r="3" spans="1:6" ht="25.5" x14ac:dyDescent="0.25">
      <c r="A3" s="11" t="s">
        <v>26</v>
      </c>
      <c r="B3" s="12">
        <v>25</v>
      </c>
      <c r="C3" s="8"/>
      <c r="D3" s="13" t="s">
        <v>27</v>
      </c>
      <c r="E3" s="8">
        <v>12</v>
      </c>
      <c r="F3" s="8" cm="1">
        <f t="array" ref="F3">+_xlfn.IFS(D3="Word",E3*$B$2,D3="Excel",$B$3*E3,D3="Access",$B$4*E3,D3="Diseño",$B$5*E3,D3="Internet",$B$6*E3)</f>
        <v>300</v>
      </c>
    </row>
    <row r="4" spans="1:6" ht="25.5" x14ac:dyDescent="0.25">
      <c r="A4" s="11" t="s">
        <v>28</v>
      </c>
      <c r="B4" s="12">
        <v>30</v>
      </c>
      <c r="C4" s="8"/>
      <c r="D4" s="13" t="s">
        <v>29</v>
      </c>
      <c r="E4" s="8">
        <v>12</v>
      </c>
      <c r="F4" s="8" cm="1">
        <f t="array" ref="F4">+_xlfn.IFS(D4="Word",E4*$B$2,D4="Excel",$B$3*E4,D4="Access",$B$4*E4,D4="Diseño",$B$5*E4,D4="Internet",$B$6*E4)</f>
        <v>240</v>
      </c>
    </row>
    <row r="5" spans="1:6" ht="25.5" x14ac:dyDescent="0.25">
      <c r="A5" s="11" t="s">
        <v>30</v>
      </c>
      <c r="B5" s="12">
        <v>35</v>
      </c>
      <c r="C5" s="8"/>
      <c r="D5" s="13" t="s">
        <v>25</v>
      </c>
      <c r="E5" s="8">
        <v>20</v>
      </c>
      <c r="F5" s="8" cm="1">
        <f t="array" ref="F5">+_xlfn.IFS(D5="Word",E5*$B$2,D5="Excel",$B$3*E5,D5="Access",$B$4*E5,D5="Diseño",$B$5*E5,D5="Internet",$B$6*E5)</f>
        <v>600</v>
      </c>
    </row>
    <row r="6" spans="1:6" ht="25.5" x14ac:dyDescent="0.25">
      <c r="A6" s="11" t="s">
        <v>31</v>
      </c>
      <c r="B6" s="12">
        <v>28</v>
      </c>
      <c r="C6" s="8"/>
      <c r="D6" s="13" t="s">
        <v>32</v>
      </c>
      <c r="E6" s="8">
        <v>30</v>
      </c>
      <c r="F6" s="8" cm="1">
        <f t="array" ref="F6">+_xlfn.IFS(D6="Word",E6*$B$2,D6="Excel",$B$3*E6,D6="Access",$B$4*E6,D6="Diseño",$B$5*E6,D6="Internet",$B$6*E6)</f>
        <v>840</v>
      </c>
    </row>
    <row r="7" spans="1:6" x14ac:dyDescent="0.25">
      <c r="A7" s="8"/>
      <c r="B7" s="8"/>
      <c r="C7" s="8"/>
      <c r="D7" s="13" t="s">
        <v>33</v>
      </c>
      <c r="E7" s="8">
        <v>10</v>
      </c>
      <c r="F7" s="8" cm="1">
        <f t="array" ref="F7">+_xlfn.IFS(D7="Word",E7*$B$2,D7="Excel",$B$3*E7,D7="Access",$B$4*E7,D7="Diseño",$B$5*E7,D7="Internet",$B$6*E7)</f>
        <v>350</v>
      </c>
    </row>
    <row r="8" spans="1:6" x14ac:dyDescent="0.25">
      <c r="A8" s="8"/>
      <c r="B8" s="8"/>
      <c r="C8" s="8"/>
      <c r="D8" s="13" t="s">
        <v>25</v>
      </c>
      <c r="E8" s="8">
        <v>15</v>
      </c>
      <c r="F8" s="8" cm="1">
        <f t="array" ref="F8">+_xlfn.IFS(D8="Word",E8*$B$2,D8="Excel",$B$3*E8,D8="Access",$B$4*E8,D8="Diseño",$B$5*E8,D8="Internet",$B$6*E8)</f>
        <v>450</v>
      </c>
    </row>
    <row r="9" spans="1:6" x14ac:dyDescent="0.25">
      <c r="A9" s="8"/>
      <c r="B9" s="8"/>
      <c r="C9" s="8"/>
      <c r="D9" s="13" t="s">
        <v>32</v>
      </c>
      <c r="E9" s="8">
        <v>20</v>
      </c>
      <c r="F9" s="8" cm="1">
        <f t="array" ref="F9">+_xlfn.IFS(D9="Word",E9*$B$2,D9="Excel",$B$3*E9,D9="Access",$B$4*E9,D9="Diseño",$B$5*E9,D9="Internet",$B$6*E9)</f>
        <v>560</v>
      </c>
    </row>
    <row r="10" spans="1:6" x14ac:dyDescent="0.25">
      <c r="A10" s="8"/>
      <c r="B10" s="8"/>
      <c r="C10" s="8"/>
      <c r="D10" s="13" t="s">
        <v>32</v>
      </c>
      <c r="E10" s="8">
        <v>20</v>
      </c>
      <c r="F10" s="8" cm="1">
        <f t="array" ref="F10">+_xlfn.IFS(D10="Word",E10*$B$2,D10="Excel",$B$3*E10,D10="Access",$B$4*E10,D10="Diseño",$B$5*E10,D10="Internet",$B$6*E10)</f>
        <v>560</v>
      </c>
    </row>
    <row r="11" spans="1:6" x14ac:dyDescent="0.25">
      <c r="A11" s="8"/>
      <c r="B11" s="8"/>
      <c r="C11" s="8"/>
      <c r="D11" s="13" t="s">
        <v>33</v>
      </c>
      <c r="E11" s="8">
        <v>20</v>
      </c>
      <c r="F11" s="8" cm="1">
        <f t="array" ref="F11">+_xlfn.IFS(D11="Word",E11*$B$2,D11="Excel",$B$3*E11,D11="Access",$B$4*E11,D11="Diseño",$B$5*E11,D11="Internet",$B$6*E11)</f>
        <v>700</v>
      </c>
    </row>
    <row r="12" spans="1:6" x14ac:dyDescent="0.25">
      <c r="A12" s="8"/>
      <c r="B12" s="8"/>
      <c r="C12" s="8"/>
      <c r="D12" s="13" t="s">
        <v>33</v>
      </c>
      <c r="E12" s="8">
        <v>5</v>
      </c>
      <c r="F12" s="8" cm="1">
        <f t="array" ref="F12">+_xlfn.IFS(D12="Word",E12*$B$2,D12="Excel",$B$3*E12,D12="Access",$B$4*E12,D12="Diseño",$B$5*E12,D12="Internet",$B$6*E12)</f>
        <v>175</v>
      </c>
    </row>
    <row r="13" spans="1:6" x14ac:dyDescent="0.25">
      <c r="A13" s="8"/>
      <c r="B13" s="8"/>
      <c r="C13" s="8"/>
      <c r="D13" s="13" t="s">
        <v>25</v>
      </c>
      <c r="E13" s="8">
        <v>15</v>
      </c>
      <c r="F13" s="8" cm="1">
        <f t="array" ref="F13">+_xlfn.IFS(D13="Word",E13*$B$2,D13="Excel",$B$3*E13,D13="Access",$B$4*E13,D13="Diseño",$B$5*E13,D13="Internet",$B$6*E13)</f>
        <v>450</v>
      </c>
    </row>
    <row r="14" spans="1:6" x14ac:dyDescent="0.25">
      <c r="A14" s="8"/>
      <c r="B14" s="8"/>
      <c r="C14" s="8"/>
      <c r="D14" s="13" t="s">
        <v>29</v>
      </c>
      <c r="E14" s="8">
        <v>25</v>
      </c>
      <c r="F14" s="8" cm="1">
        <f t="array" ref="F14">+_xlfn.IFS(D14="Word",E14*$B$2,D14="Excel",$B$3*E14,D14="Access",$B$4*E14,D14="Diseño",$B$5*E14,D14="Internet",$B$6*E14)</f>
        <v>500</v>
      </c>
    </row>
    <row r="15" spans="1:6" x14ac:dyDescent="0.25">
      <c r="A15" s="8"/>
      <c r="B15" s="8"/>
      <c r="C15" s="8"/>
      <c r="D15" s="13" t="s">
        <v>27</v>
      </c>
      <c r="E15" s="8">
        <v>25</v>
      </c>
      <c r="F15" s="8" cm="1">
        <f t="array" ref="F15">+_xlfn.IFS(D15="Word",E15*$B$2,D15="Excel",$B$3*E15,D15="Access",$B$4*E15,D15="Diseño",$B$5*E15,D15="Internet",$B$6*E15)</f>
        <v>625</v>
      </c>
    </row>
    <row r="16" spans="1:6" x14ac:dyDescent="0.25">
      <c r="A16" s="8"/>
      <c r="B16" s="8"/>
      <c r="C16" s="8"/>
      <c r="D16" s="13" t="s">
        <v>27</v>
      </c>
      <c r="E16" s="8">
        <v>30</v>
      </c>
      <c r="F16" s="8" cm="1">
        <f t="array" ref="F16">+_xlfn.IFS(D16="Word",E16*$B$2,D16="Excel",$B$3*E16,D16="Access",$B$4*E16,D16="Diseño",$B$5*E16,D16="Internet",$B$6*E16)</f>
        <v>750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BCB9E-EBB1-4BE0-9248-39F070186090}">
  <dimension ref="A15:C21"/>
  <sheetViews>
    <sheetView workbookViewId="0">
      <selection activeCell="B18" sqref="B18"/>
    </sheetView>
  </sheetViews>
  <sheetFormatPr baseColWidth="10" defaultRowHeight="15" x14ac:dyDescent="0.25"/>
  <cols>
    <col min="3" max="3" width="17.28515625" customWidth="1"/>
  </cols>
  <sheetData>
    <row r="15" spans="1:3" x14ac:dyDescent="0.25">
      <c r="A15" s="16" t="s">
        <v>34</v>
      </c>
      <c r="B15" s="16" t="s">
        <v>35</v>
      </c>
      <c r="C15" s="16" t="s">
        <v>36</v>
      </c>
    </row>
    <row r="16" spans="1:3" x14ac:dyDescent="0.25">
      <c r="A16" s="15" t="s">
        <v>37</v>
      </c>
      <c r="B16" s="15">
        <v>95</v>
      </c>
      <c r="C16" s="15" t="str" cm="1">
        <f t="array" ref="C16">+_xlfn.IFS(B16&gt;=95,"Excelente",B16&gt;80,"Notable",B16&gt;70,"Bien",B16&lt;=70,"Necesita Mejorar")</f>
        <v>Excelente</v>
      </c>
    </row>
    <row r="17" spans="1:3" x14ac:dyDescent="0.25">
      <c r="A17" s="15" t="s">
        <v>38</v>
      </c>
      <c r="B17" s="15">
        <v>88</v>
      </c>
      <c r="C17" s="15" t="str" cm="1">
        <f t="array" ref="C17">+_xlfn.IFS(B17&gt;=95,"Excelente",B17&gt;80,"Notable",B17&gt;70,"Bien",B17&lt;=70,"Necesita Mejorar")</f>
        <v>Notable</v>
      </c>
    </row>
    <row r="18" spans="1:3" x14ac:dyDescent="0.25">
      <c r="A18" s="15" t="s">
        <v>39</v>
      </c>
      <c r="B18" s="15">
        <v>80</v>
      </c>
      <c r="C18" s="15" t="str" cm="1">
        <f t="array" ref="C18">+_xlfn.IFS(B18&gt;=95,"Excelente",B18&gt;80,"Notable",B18&gt;70,"Bien",B18&lt;=70,"Necesita Mejorar")</f>
        <v>Bien</v>
      </c>
    </row>
    <row r="19" spans="1:3" x14ac:dyDescent="0.25">
      <c r="A19" s="15" t="s">
        <v>40</v>
      </c>
      <c r="B19" s="15">
        <v>76</v>
      </c>
      <c r="C19" s="15" t="str" cm="1">
        <f t="array" ref="C19">+_xlfn.IFS(B19&gt;=95,"Excelente",B19&gt;80,"Notable",B19&gt;70,"Bien",B19&lt;=70,"Necesita Mejorar")</f>
        <v>Bien</v>
      </c>
    </row>
    <row r="20" spans="1:3" x14ac:dyDescent="0.25">
      <c r="A20" s="15" t="s">
        <v>41</v>
      </c>
      <c r="B20" s="15">
        <v>68</v>
      </c>
      <c r="C20" s="15" t="str" cm="1">
        <f t="array" ref="C20">+_xlfn.IFS(B20&gt;=95,"Excelente",B20&gt;80,"Notable",B20&gt;70,"Bien",B20&lt;=70,"Necesita Mejorar")</f>
        <v>Necesita Mejorar</v>
      </c>
    </row>
    <row r="21" spans="1:3" x14ac:dyDescent="0.25">
      <c r="A21" s="15" t="s">
        <v>42</v>
      </c>
      <c r="B21" s="15">
        <v>55</v>
      </c>
      <c r="C21" s="15" t="str" cm="1">
        <f t="array" ref="C21">+_xlfn.IFS(B21&gt;=95,"Excelente",B21&gt;80,"Notable",B21&gt;70,"Bien",B21&lt;=70,"Necesita Mejorar")</f>
        <v>Necesita Mejorar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A9D51-1916-4A9A-A82F-CFC3E168E09A}">
  <dimension ref="A1:D24"/>
  <sheetViews>
    <sheetView tabSelected="1" workbookViewId="0">
      <selection activeCell="A7" sqref="A7"/>
    </sheetView>
  </sheetViews>
  <sheetFormatPr baseColWidth="10" defaultRowHeight="15" x14ac:dyDescent="0.25"/>
  <sheetData>
    <row r="1" spans="1:4" ht="38.25" x14ac:dyDescent="0.25">
      <c r="A1" s="14" t="s">
        <v>43</v>
      </c>
      <c r="B1" s="17">
        <v>20</v>
      </c>
      <c r="C1" s="8"/>
      <c r="D1" s="8"/>
    </row>
    <row r="2" spans="1:4" ht="25.5" x14ac:dyDescent="0.25">
      <c r="A2" s="14" t="s">
        <v>44</v>
      </c>
      <c r="B2" s="17">
        <v>25</v>
      </c>
      <c r="C2" s="8"/>
      <c r="D2" s="8"/>
    </row>
    <row r="3" spans="1:4" x14ac:dyDescent="0.25">
      <c r="A3" s="8"/>
      <c r="B3" s="8"/>
      <c r="C3" s="9"/>
      <c r="D3" s="8"/>
    </row>
    <row r="4" spans="1:4" x14ac:dyDescent="0.25">
      <c r="A4" s="9" t="s">
        <v>20</v>
      </c>
      <c r="B4" s="9" t="s">
        <v>22</v>
      </c>
      <c r="C4" s="9" t="s">
        <v>45</v>
      </c>
      <c r="D4" s="9" t="s">
        <v>46</v>
      </c>
    </row>
    <row r="5" spans="1:4" x14ac:dyDescent="0.25">
      <c r="A5" s="13" t="s">
        <v>47</v>
      </c>
      <c r="B5" s="8">
        <v>15</v>
      </c>
      <c r="C5" s="18" cm="1">
        <f t="array" ref="C5">+_xlfn.IFS(OR(A5="Word",A5="Outlook"),B5*$B$1,A5="Excel",B5*$B$2)</f>
        <v>300</v>
      </c>
      <c r="D5" s="13"/>
    </row>
    <row r="6" spans="1:4" x14ac:dyDescent="0.25">
      <c r="A6" s="8" t="s">
        <v>27</v>
      </c>
      <c r="B6" s="8">
        <v>20</v>
      </c>
      <c r="C6" s="18" cm="1">
        <f t="array" ref="C6">+_xlfn.IFS(OR(A6="Word",A6="Outlook"),B6*$B$1,A6="Excel",B6*$B$2)</f>
        <v>500</v>
      </c>
      <c r="D6" s="13"/>
    </row>
    <row r="7" spans="1:4" x14ac:dyDescent="0.25">
      <c r="A7" s="8" t="s">
        <v>29</v>
      </c>
      <c r="B7" s="8">
        <v>25</v>
      </c>
      <c r="C7" s="18" cm="1">
        <f t="array" ref="C7">+_xlfn.IFS(OR(A7="Word",A7="Outlook"),B7*$B$1,A7="Excel",B7*$B$2)</f>
        <v>500</v>
      </c>
      <c r="D7" s="13"/>
    </row>
    <row r="8" spans="1:4" x14ac:dyDescent="0.25">
      <c r="A8" s="8" t="s">
        <v>27</v>
      </c>
      <c r="B8" s="8">
        <v>20</v>
      </c>
      <c r="C8" s="18" cm="1">
        <f t="array" ref="C8">+_xlfn.IFS(OR(A8="Word",A8="Outlook"),B8*$B$1,A8="Excel",B8*$B$2)</f>
        <v>500</v>
      </c>
      <c r="D8" s="13"/>
    </row>
    <row r="9" spans="1:4" x14ac:dyDescent="0.25">
      <c r="A9" s="8" t="s">
        <v>29</v>
      </c>
      <c r="B9" s="8">
        <v>30</v>
      </c>
      <c r="C9" s="18" cm="1">
        <f t="array" ref="C9">+_xlfn.IFS(OR(A9="Word",A9="Outlook"),B9*$B$1,A9="Excel",B9*$B$2)</f>
        <v>600</v>
      </c>
      <c r="D9" s="13"/>
    </row>
    <row r="10" spans="1:4" x14ac:dyDescent="0.25">
      <c r="A10" s="8" t="s">
        <v>27</v>
      </c>
      <c r="B10" s="8">
        <v>20</v>
      </c>
      <c r="C10" s="18" cm="1">
        <f t="array" ref="C10">+_xlfn.IFS(OR(A10="Word",A10="Outlook"),B10*$B$1,A10="Excel",B10*$B$2)</f>
        <v>500</v>
      </c>
      <c r="D10" s="13"/>
    </row>
    <row r="11" spans="1:4" x14ac:dyDescent="0.25">
      <c r="A11" s="8" t="s">
        <v>29</v>
      </c>
      <c r="B11" s="8">
        <v>25</v>
      </c>
      <c r="C11" s="18" cm="1">
        <f t="array" ref="C11">+_xlfn.IFS(OR(A11="Word",A11="Outlook"),B11*$B$1,A11="Excel",B11*$B$2)</f>
        <v>500</v>
      </c>
      <c r="D11" s="13"/>
    </row>
    <row r="12" spans="1:4" x14ac:dyDescent="0.25">
      <c r="A12" s="8" t="s">
        <v>27</v>
      </c>
      <c r="B12" s="8">
        <v>10</v>
      </c>
      <c r="C12" s="18" cm="1">
        <f t="array" ref="C12">+_xlfn.IFS(OR(A12="Word",A12="Outlook"),B12*$B$1,A12="Excel",B12*$B$2)</f>
        <v>250</v>
      </c>
      <c r="D12" s="13"/>
    </row>
    <row r="13" spans="1:4" x14ac:dyDescent="0.25">
      <c r="A13" s="8" t="s">
        <v>29</v>
      </c>
      <c r="B13" s="8">
        <v>5</v>
      </c>
      <c r="C13" s="18" cm="1">
        <f t="array" ref="C13">+_xlfn.IFS(OR(A13="Word",A13="Outlook"),B13*$B$1,A13="Excel",B13*$B$2)</f>
        <v>100</v>
      </c>
      <c r="D13" s="13"/>
    </row>
    <row r="14" spans="1:4" x14ac:dyDescent="0.25">
      <c r="A14" s="8" t="s">
        <v>27</v>
      </c>
      <c r="B14" s="8">
        <v>15</v>
      </c>
      <c r="C14" s="18" cm="1">
        <f t="array" ref="C14">+_xlfn.IFS(OR(A14="Word",A14="Outlook"),B14*$B$1,A14="Excel",B14*$B$2)</f>
        <v>375</v>
      </c>
      <c r="D14" s="13"/>
    </row>
    <row r="15" spans="1:4" x14ac:dyDescent="0.25">
      <c r="A15" s="13" t="s">
        <v>29</v>
      </c>
      <c r="B15" s="8">
        <v>20</v>
      </c>
      <c r="C15" s="18" cm="1">
        <f t="array" ref="C15">+_xlfn.IFS(OR(A15="Word",A15="Outlook"),B15*$B$1,A15="Excel",B15*$B$2)</f>
        <v>400</v>
      </c>
      <c r="D15" s="13"/>
    </row>
    <row r="16" spans="1:4" x14ac:dyDescent="0.25">
      <c r="A16" s="13" t="s">
        <v>27</v>
      </c>
      <c r="B16" s="8">
        <v>12</v>
      </c>
      <c r="C16" s="18" cm="1">
        <f t="array" ref="C16">+_xlfn.IFS(OR(A16="Word",A16="Outlook"),B16*$B$1,A16="Excel",B16*$B$2)</f>
        <v>300</v>
      </c>
      <c r="D16" s="13"/>
    </row>
    <row r="17" spans="1:4" x14ac:dyDescent="0.25">
      <c r="A17" s="8" t="s">
        <v>47</v>
      </c>
      <c r="B17" s="8">
        <v>10</v>
      </c>
      <c r="C17" s="18" cm="1">
        <f t="array" ref="C17">+_xlfn.IFS(OR(A17="Word",A17="Outlook"),B17*$B$1,A17="Excel",B17*$B$2)</f>
        <v>200</v>
      </c>
      <c r="D17" s="13"/>
    </row>
    <row r="18" spans="1:4" x14ac:dyDescent="0.25">
      <c r="A18" s="8" t="s">
        <v>47</v>
      </c>
      <c r="B18" s="8">
        <v>15</v>
      </c>
      <c r="C18" s="18" cm="1">
        <f t="array" ref="C18">+_xlfn.IFS(OR(A18="Word",A18="Outlook"),B18*$B$1,A18="Excel",B18*$B$2)</f>
        <v>300</v>
      </c>
      <c r="D18" s="13"/>
    </row>
    <row r="19" spans="1:4" x14ac:dyDescent="0.25">
      <c r="A19" s="13" t="s">
        <v>27</v>
      </c>
      <c r="B19" s="8">
        <v>8</v>
      </c>
      <c r="C19" s="18" cm="1">
        <f t="array" ref="C19">+_xlfn.IFS(OR(A19="Word",A19="Outlook"),B19*$B$1,A19="Excel",B19*$B$2)</f>
        <v>200</v>
      </c>
      <c r="D19" s="13"/>
    </row>
    <row r="20" spans="1:4" x14ac:dyDescent="0.25">
      <c r="A20" s="8" t="s">
        <v>47</v>
      </c>
      <c r="B20" s="8">
        <v>10</v>
      </c>
      <c r="C20" s="18" cm="1">
        <f t="array" ref="C20">+_xlfn.IFS(OR(A20="Word",A20="Outlook"),B20*$B$1,A20="Excel",B20*$B$2)</f>
        <v>200</v>
      </c>
      <c r="D20" s="13"/>
    </row>
    <row r="21" spans="1:4" x14ac:dyDescent="0.25">
      <c r="A21" s="13" t="s">
        <v>29</v>
      </c>
      <c r="B21" s="8">
        <v>12</v>
      </c>
      <c r="C21" s="18" cm="1">
        <f t="array" ref="C21">+_xlfn.IFS(OR(A21="Word",A21="Outlook"),B21*$B$1,A21="Excel",B21*$B$2)</f>
        <v>240</v>
      </c>
      <c r="D21" s="13"/>
    </row>
    <row r="22" spans="1:4" x14ac:dyDescent="0.25">
      <c r="A22" s="13" t="s">
        <v>27</v>
      </c>
      <c r="B22" s="8">
        <v>30</v>
      </c>
      <c r="C22" s="18" cm="1">
        <f t="array" ref="C22">+_xlfn.IFS(OR(A22="Word",A22="Outlook"),B22*$B$1,A22="Excel",B22*$B$2)</f>
        <v>750</v>
      </c>
      <c r="D22" s="13"/>
    </row>
    <row r="23" spans="1:4" x14ac:dyDescent="0.25">
      <c r="A23" s="8" t="s">
        <v>47</v>
      </c>
      <c r="B23" s="8">
        <v>25</v>
      </c>
      <c r="C23" s="18" cm="1">
        <f t="array" ref="C23">+_xlfn.IFS(OR(A23="Word",A23="Outlook"),B23*$B$1,A23="Excel",B23*$B$2)</f>
        <v>500</v>
      </c>
      <c r="D23" s="13"/>
    </row>
    <row r="24" spans="1:4" x14ac:dyDescent="0.25">
      <c r="A24" s="8" t="s">
        <v>47</v>
      </c>
      <c r="B24" s="8">
        <v>30</v>
      </c>
      <c r="C24" s="18" cm="1">
        <f t="array" ref="C24">+_xlfn.IFS(OR(A24="Word",A24="Outlook"),B24*$B$1,A24="Excel",B24*$B$2)</f>
        <v>600</v>
      </c>
      <c r="D24" s="1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GASTOS</vt:lpstr>
      <vt:lpstr>SI.CONJUNTO</vt:lpstr>
      <vt:lpstr>Ejercicio</vt:lpstr>
      <vt:lpstr>SI</vt:lpstr>
      <vt:lpstr>Consulta1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</dc:creator>
  <cp:lastModifiedBy>andymaytaquintana@hotmail.com</cp:lastModifiedBy>
  <dcterms:created xsi:type="dcterms:W3CDTF">2014-05-08T17:10:58Z</dcterms:created>
  <dcterms:modified xsi:type="dcterms:W3CDTF">2026-10-29T15:23:46Z</dcterms:modified>
</cp:coreProperties>
</file>